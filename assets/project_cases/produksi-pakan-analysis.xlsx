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oogle Drives\Work\My Drive\Portfolio_Website\PROJECT CASES\Short class excel\"/>
    </mc:Choice>
  </mc:AlternateContent>
  <xr:revisionPtr revIDLastSave="0" documentId="13_ncr:1_{2800C963-B5CD-4F13-BE4F-A7EEC4C28A2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Main Data" sheetId="2" r:id="rId1"/>
    <sheet name="Data Visualization" sheetId="3" r:id="rId2"/>
  </sheets>
  <definedNames>
    <definedName name="_xlnm._FilterDatabase" localSheetId="0" hidden="1">'Main Data'!$A$2:$L$512</definedName>
    <definedName name="_xlchart.v5.0" hidden="1">'Data Visualization'!$A$35</definedName>
    <definedName name="_xlchart.v5.1" hidden="1">'Data Visualization'!$A$36:$A$69</definedName>
    <definedName name="_xlchart.v5.2" hidden="1">'Data Visualization'!$B$35</definedName>
    <definedName name="_xlchart.v5.3" hidden="1">'Data Visualization'!$B$36:$B$69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x8JrqevgueZGlwrKp14Yqv8SKdGQ/IGXCytMoTag7JU="/>
    </ext>
  </extLst>
</workbook>
</file>

<file path=xl/calcChain.xml><?xml version="1.0" encoding="utf-8"?>
<calcChain xmlns="http://schemas.openxmlformats.org/spreadsheetml/2006/main">
  <c r="B29" i="3" l="1"/>
  <c r="K3" i="2"/>
  <c r="J3" i="2"/>
  <c r="G3" i="2"/>
  <c r="B22" i="3"/>
  <c r="B3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18" i="3"/>
  <c r="B17" i="3"/>
  <c r="B13" i="3"/>
  <c r="B12" i="3"/>
  <c r="B11" i="3"/>
  <c r="B7" i="3"/>
  <c r="B6" i="3"/>
  <c r="B5" i="3"/>
  <c r="B4" i="3"/>
  <c r="J512" i="2"/>
  <c r="K512" i="2" s="1"/>
  <c r="G512" i="2"/>
  <c r="L512" i="2" s="1"/>
  <c r="E512" i="2"/>
  <c r="K511" i="2"/>
  <c r="J511" i="2"/>
  <c r="G511" i="2"/>
  <c r="L511" i="2" s="1"/>
  <c r="E511" i="2"/>
  <c r="J510" i="2"/>
  <c r="K510" i="2" s="1"/>
  <c r="L510" i="2" s="1"/>
  <c r="G510" i="2"/>
  <c r="E510" i="2"/>
  <c r="J509" i="2"/>
  <c r="K509" i="2" s="1"/>
  <c r="G509" i="2"/>
  <c r="L509" i="2" s="1"/>
  <c r="E509" i="2"/>
  <c r="L508" i="2"/>
  <c r="K508" i="2"/>
  <c r="J508" i="2"/>
  <c r="G508" i="2"/>
  <c r="E508" i="2"/>
  <c r="J507" i="2"/>
  <c r="K507" i="2" s="1"/>
  <c r="G507" i="2"/>
  <c r="L507" i="2" s="1"/>
  <c r="E507" i="2"/>
  <c r="J506" i="2"/>
  <c r="K506" i="2" s="1"/>
  <c r="G506" i="2"/>
  <c r="E506" i="2"/>
  <c r="K505" i="2"/>
  <c r="L505" i="2" s="1"/>
  <c r="J505" i="2"/>
  <c r="G505" i="2"/>
  <c r="E505" i="2"/>
  <c r="J504" i="2"/>
  <c r="K504" i="2" s="1"/>
  <c r="G504" i="2"/>
  <c r="L504" i="2" s="1"/>
  <c r="E504" i="2"/>
  <c r="L503" i="2"/>
  <c r="K503" i="2"/>
  <c r="J503" i="2"/>
  <c r="G503" i="2"/>
  <c r="E503" i="2"/>
  <c r="J502" i="2"/>
  <c r="K502" i="2" s="1"/>
  <c r="L502" i="2" s="1"/>
  <c r="G502" i="2"/>
  <c r="E502" i="2"/>
  <c r="J501" i="2"/>
  <c r="K501" i="2" s="1"/>
  <c r="G501" i="2"/>
  <c r="E501" i="2"/>
  <c r="L500" i="2"/>
  <c r="K500" i="2"/>
  <c r="J500" i="2"/>
  <c r="G500" i="2"/>
  <c r="E500" i="2"/>
  <c r="J499" i="2"/>
  <c r="K499" i="2" s="1"/>
  <c r="G499" i="2"/>
  <c r="L499" i="2" s="1"/>
  <c r="E499" i="2"/>
  <c r="J498" i="2"/>
  <c r="K498" i="2" s="1"/>
  <c r="G498" i="2"/>
  <c r="L498" i="2" s="1"/>
  <c r="E498" i="2"/>
  <c r="K497" i="2"/>
  <c r="L497" i="2" s="1"/>
  <c r="J497" i="2"/>
  <c r="G497" i="2"/>
  <c r="E497" i="2"/>
  <c r="J496" i="2"/>
  <c r="K496" i="2" s="1"/>
  <c r="G496" i="2"/>
  <c r="E496" i="2"/>
  <c r="L495" i="2"/>
  <c r="K495" i="2"/>
  <c r="J495" i="2"/>
  <c r="G495" i="2"/>
  <c r="E495" i="2"/>
  <c r="J494" i="2"/>
  <c r="K494" i="2" s="1"/>
  <c r="L494" i="2" s="1"/>
  <c r="G494" i="2"/>
  <c r="E494" i="2"/>
  <c r="J493" i="2"/>
  <c r="K493" i="2" s="1"/>
  <c r="G493" i="2"/>
  <c r="L493" i="2" s="1"/>
  <c r="E493" i="2"/>
  <c r="L492" i="2"/>
  <c r="K492" i="2"/>
  <c r="J492" i="2"/>
  <c r="G492" i="2"/>
  <c r="E492" i="2"/>
  <c r="K491" i="2"/>
  <c r="J491" i="2"/>
  <c r="G491" i="2"/>
  <c r="L491" i="2" s="1"/>
  <c r="E491" i="2"/>
  <c r="J490" i="2"/>
  <c r="K490" i="2" s="1"/>
  <c r="G490" i="2"/>
  <c r="L490" i="2" s="1"/>
  <c r="E490" i="2"/>
  <c r="K489" i="2"/>
  <c r="L489" i="2" s="1"/>
  <c r="J489" i="2"/>
  <c r="G489" i="2"/>
  <c r="E489" i="2"/>
  <c r="J488" i="2"/>
  <c r="K488" i="2" s="1"/>
  <c r="G488" i="2"/>
  <c r="L488" i="2" s="1"/>
  <c r="E488" i="2"/>
  <c r="L487" i="2"/>
  <c r="K487" i="2"/>
  <c r="J487" i="2"/>
  <c r="G487" i="2"/>
  <c r="E487" i="2"/>
  <c r="J486" i="2"/>
  <c r="K486" i="2" s="1"/>
  <c r="L486" i="2" s="1"/>
  <c r="G486" i="2"/>
  <c r="E486" i="2"/>
  <c r="J485" i="2"/>
  <c r="K485" i="2" s="1"/>
  <c r="G485" i="2"/>
  <c r="L485" i="2" s="1"/>
  <c r="E485" i="2"/>
  <c r="L484" i="2"/>
  <c r="K484" i="2"/>
  <c r="J484" i="2"/>
  <c r="G484" i="2"/>
  <c r="E484" i="2"/>
  <c r="K483" i="2"/>
  <c r="J483" i="2"/>
  <c r="G483" i="2"/>
  <c r="L483" i="2" s="1"/>
  <c r="E483" i="2"/>
  <c r="J482" i="2"/>
  <c r="K482" i="2" s="1"/>
  <c r="G482" i="2"/>
  <c r="L482" i="2" s="1"/>
  <c r="E482" i="2"/>
  <c r="K481" i="2"/>
  <c r="L481" i="2" s="1"/>
  <c r="J481" i="2"/>
  <c r="G481" i="2"/>
  <c r="E481" i="2"/>
  <c r="J480" i="2"/>
  <c r="K480" i="2" s="1"/>
  <c r="G480" i="2"/>
  <c r="E480" i="2"/>
  <c r="L479" i="2"/>
  <c r="K479" i="2"/>
  <c r="J479" i="2"/>
  <c r="G479" i="2"/>
  <c r="E479" i="2"/>
  <c r="J478" i="2"/>
  <c r="K478" i="2" s="1"/>
  <c r="L478" i="2" s="1"/>
  <c r="G478" i="2"/>
  <c r="E478" i="2"/>
  <c r="J477" i="2"/>
  <c r="K477" i="2" s="1"/>
  <c r="G477" i="2"/>
  <c r="L477" i="2" s="1"/>
  <c r="E477" i="2"/>
  <c r="L476" i="2"/>
  <c r="K476" i="2"/>
  <c r="J476" i="2"/>
  <c r="G476" i="2"/>
  <c r="E476" i="2"/>
  <c r="K475" i="2"/>
  <c r="J475" i="2"/>
  <c r="G475" i="2"/>
  <c r="L475" i="2" s="1"/>
  <c r="E475" i="2"/>
  <c r="J474" i="2"/>
  <c r="K474" i="2" s="1"/>
  <c r="G474" i="2"/>
  <c r="L474" i="2" s="1"/>
  <c r="E474" i="2"/>
  <c r="K473" i="2"/>
  <c r="L473" i="2" s="1"/>
  <c r="J473" i="2"/>
  <c r="G473" i="2"/>
  <c r="E473" i="2"/>
  <c r="J472" i="2"/>
  <c r="K472" i="2" s="1"/>
  <c r="G472" i="2"/>
  <c r="L472" i="2" s="1"/>
  <c r="E472" i="2"/>
  <c r="L471" i="2"/>
  <c r="K471" i="2"/>
  <c r="J471" i="2"/>
  <c r="G471" i="2"/>
  <c r="E471" i="2"/>
  <c r="J470" i="2"/>
  <c r="K470" i="2" s="1"/>
  <c r="L470" i="2" s="1"/>
  <c r="G470" i="2"/>
  <c r="E470" i="2"/>
  <c r="J469" i="2"/>
  <c r="K469" i="2" s="1"/>
  <c r="G469" i="2"/>
  <c r="L469" i="2" s="1"/>
  <c r="E469" i="2"/>
  <c r="L468" i="2"/>
  <c r="K468" i="2"/>
  <c r="J468" i="2"/>
  <c r="G468" i="2"/>
  <c r="E468" i="2"/>
  <c r="K467" i="2"/>
  <c r="J467" i="2"/>
  <c r="G467" i="2"/>
  <c r="L467" i="2" s="1"/>
  <c r="E467" i="2"/>
  <c r="J466" i="2"/>
  <c r="K466" i="2" s="1"/>
  <c r="G466" i="2"/>
  <c r="L466" i="2" s="1"/>
  <c r="E466" i="2"/>
  <c r="K465" i="2"/>
  <c r="L465" i="2" s="1"/>
  <c r="J465" i="2"/>
  <c r="G465" i="2"/>
  <c r="E465" i="2"/>
  <c r="J464" i="2"/>
  <c r="K464" i="2" s="1"/>
  <c r="G464" i="2"/>
  <c r="E464" i="2"/>
  <c r="L463" i="2"/>
  <c r="K463" i="2"/>
  <c r="J463" i="2"/>
  <c r="G463" i="2"/>
  <c r="E463" i="2"/>
  <c r="J462" i="2"/>
  <c r="K462" i="2" s="1"/>
  <c r="L462" i="2" s="1"/>
  <c r="G462" i="2"/>
  <c r="E462" i="2"/>
  <c r="J461" i="2"/>
  <c r="K461" i="2" s="1"/>
  <c r="G461" i="2"/>
  <c r="L461" i="2" s="1"/>
  <c r="E461" i="2"/>
  <c r="L460" i="2"/>
  <c r="K460" i="2"/>
  <c r="J460" i="2"/>
  <c r="G460" i="2"/>
  <c r="E460" i="2"/>
  <c r="K459" i="2"/>
  <c r="J459" i="2"/>
  <c r="G459" i="2"/>
  <c r="L459" i="2" s="1"/>
  <c r="E459" i="2"/>
  <c r="J458" i="2"/>
  <c r="K458" i="2" s="1"/>
  <c r="G458" i="2"/>
  <c r="L458" i="2" s="1"/>
  <c r="E458" i="2"/>
  <c r="K457" i="2"/>
  <c r="L457" i="2" s="1"/>
  <c r="J457" i="2"/>
  <c r="G457" i="2"/>
  <c r="E457" i="2"/>
  <c r="J456" i="2"/>
  <c r="K456" i="2" s="1"/>
  <c r="G456" i="2"/>
  <c r="E456" i="2"/>
  <c r="L455" i="2"/>
  <c r="K455" i="2"/>
  <c r="J455" i="2"/>
  <c r="G455" i="2"/>
  <c r="E455" i="2"/>
  <c r="J454" i="2"/>
  <c r="K454" i="2" s="1"/>
  <c r="L454" i="2" s="1"/>
  <c r="G454" i="2"/>
  <c r="E454" i="2"/>
  <c r="J453" i="2"/>
  <c r="K453" i="2" s="1"/>
  <c r="G453" i="2"/>
  <c r="L453" i="2" s="1"/>
  <c r="E453" i="2"/>
  <c r="L452" i="2"/>
  <c r="K452" i="2"/>
  <c r="J452" i="2"/>
  <c r="G452" i="2"/>
  <c r="E452" i="2"/>
  <c r="K451" i="2"/>
  <c r="J451" i="2"/>
  <c r="G451" i="2"/>
  <c r="L451" i="2" s="1"/>
  <c r="E451" i="2"/>
  <c r="J450" i="2"/>
  <c r="K450" i="2" s="1"/>
  <c r="G450" i="2"/>
  <c r="L450" i="2" s="1"/>
  <c r="E450" i="2"/>
  <c r="K449" i="2"/>
  <c r="L449" i="2" s="1"/>
  <c r="J449" i="2"/>
  <c r="G449" i="2"/>
  <c r="E449" i="2"/>
  <c r="J448" i="2"/>
  <c r="K448" i="2" s="1"/>
  <c r="G448" i="2"/>
  <c r="E448" i="2"/>
  <c r="L447" i="2"/>
  <c r="K447" i="2"/>
  <c r="J447" i="2"/>
  <c r="G447" i="2"/>
  <c r="E447" i="2"/>
  <c r="J446" i="2"/>
  <c r="K446" i="2" s="1"/>
  <c r="L446" i="2" s="1"/>
  <c r="G446" i="2"/>
  <c r="E446" i="2"/>
  <c r="J445" i="2"/>
  <c r="K445" i="2" s="1"/>
  <c r="G445" i="2"/>
  <c r="L445" i="2" s="1"/>
  <c r="E445" i="2"/>
  <c r="L444" i="2"/>
  <c r="K444" i="2"/>
  <c r="J444" i="2"/>
  <c r="G444" i="2"/>
  <c r="E444" i="2"/>
  <c r="K443" i="2"/>
  <c r="J443" i="2"/>
  <c r="G443" i="2"/>
  <c r="L443" i="2" s="1"/>
  <c r="E443" i="2"/>
  <c r="J442" i="2"/>
  <c r="K442" i="2" s="1"/>
  <c r="G442" i="2"/>
  <c r="L442" i="2" s="1"/>
  <c r="E442" i="2"/>
  <c r="K441" i="2"/>
  <c r="L441" i="2" s="1"/>
  <c r="J441" i="2"/>
  <c r="G441" i="2"/>
  <c r="E441" i="2"/>
  <c r="J440" i="2"/>
  <c r="K440" i="2" s="1"/>
  <c r="G440" i="2"/>
  <c r="L440" i="2" s="1"/>
  <c r="E440" i="2"/>
  <c r="L439" i="2"/>
  <c r="K439" i="2"/>
  <c r="J439" i="2"/>
  <c r="G439" i="2"/>
  <c r="E439" i="2"/>
  <c r="J438" i="2"/>
  <c r="K438" i="2" s="1"/>
  <c r="L438" i="2" s="1"/>
  <c r="G438" i="2"/>
  <c r="E438" i="2"/>
  <c r="J437" i="2"/>
  <c r="K437" i="2" s="1"/>
  <c r="G437" i="2"/>
  <c r="L437" i="2" s="1"/>
  <c r="E437" i="2"/>
  <c r="L436" i="2"/>
  <c r="K436" i="2"/>
  <c r="J436" i="2"/>
  <c r="G436" i="2"/>
  <c r="E436" i="2"/>
  <c r="K435" i="2"/>
  <c r="J435" i="2"/>
  <c r="G435" i="2"/>
  <c r="L435" i="2" s="1"/>
  <c r="E435" i="2"/>
  <c r="J434" i="2"/>
  <c r="K434" i="2" s="1"/>
  <c r="G434" i="2"/>
  <c r="L434" i="2" s="1"/>
  <c r="E434" i="2"/>
  <c r="K433" i="2"/>
  <c r="L433" i="2" s="1"/>
  <c r="J433" i="2"/>
  <c r="G433" i="2"/>
  <c r="E433" i="2"/>
  <c r="J432" i="2"/>
  <c r="K432" i="2" s="1"/>
  <c r="G432" i="2"/>
  <c r="E432" i="2"/>
  <c r="L431" i="2"/>
  <c r="K431" i="2"/>
  <c r="J431" i="2"/>
  <c r="G431" i="2"/>
  <c r="E431" i="2"/>
  <c r="J430" i="2"/>
  <c r="K430" i="2" s="1"/>
  <c r="L430" i="2" s="1"/>
  <c r="G430" i="2"/>
  <c r="E430" i="2"/>
  <c r="J429" i="2"/>
  <c r="K429" i="2" s="1"/>
  <c r="G429" i="2"/>
  <c r="L429" i="2" s="1"/>
  <c r="E429" i="2"/>
  <c r="L428" i="2"/>
  <c r="K428" i="2"/>
  <c r="J428" i="2"/>
  <c r="G428" i="2"/>
  <c r="E428" i="2"/>
  <c r="K427" i="2"/>
  <c r="J427" i="2"/>
  <c r="G427" i="2"/>
  <c r="L427" i="2" s="1"/>
  <c r="E427" i="2"/>
  <c r="J426" i="2"/>
  <c r="K426" i="2" s="1"/>
  <c r="G426" i="2"/>
  <c r="L426" i="2" s="1"/>
  <c r="E426" i="2"/>
  <c r="K425" i="2"/>
  <c r="L425" i="2" s="1"/>
  <c r="J425" i="2"/>
  <c r="G425" i="2"/>
  <c r="E425" i="2"/>
  <c r="J424" i="2"/>
  <c r="K424" i="2" s="1"/>
  <c r="G424" i="2"/>
  <c r="E424" i="2"/>
  <c r="L423" i="2"/>
  <c r="K423" i="2"/>
  <c r="J423" i="2"/>
  <c r="G423" i="2"/>
  <c r="E423" i="2"/>
  <c r="J422" i="2"/>
  <c r="K422" i="2" s="1"/>
  <c r="L422" i="2" s="1"/>
  <c r="G422" i="2"/>
  <c r="E422" i="2"/>
  <c r="J421" i="2"/>
  <c r="K421" i="2" s="1"/>
  <c r="G421" i="2"/>
  <c r="L421" i="2" s="1"/>
  <c r="E421" i="2"/>
  <c r="L420" i="2"/>
  <c r="K420" i="2"/>
  <c r="J420" i="2"/>
  <c r="G420" i="2"/>
  <c r="E420" i="2"/>
  <c r="K419" i="2"/>
  <c r="J419" i="2"/>
  <c r="G419" i="2"/>
  <c r="L419" i="2" s="1"/>
  <c r="E419" i="2"/>
  <c r="J418" i="2"/>
  <c r="K418" i="2" s="1"/>
  <c r="G418" i="2"/>
  <c r="L418" i="2" s="1"/>
  <c r="E418" i="2"/>
  <c r="K417" i="2"/>
  <c r="L417" i="2" s="1"/>
  <c r="J417" i="2"/>
  <c r="G417" i="2"/>
  <c r="E417" i="2"/>
  <c r="J416" i="2"/>
  <c r="K416" i="2" s="1"/>
  <c r="G416" i="2"/>
  <c r="E416" i="2"/>
  <c r="L415" i="2"/>
  <c r="K415" i="2"/>
  <c r="J415" i="2"/>
  <c r="G415" i="2"/>
  <c r="E415" i="2"/>
  <c r="J414" i="2"/>
  <c r="K414" i="2" s="1"/>
  <c r="L414" i="2" s="1"/>
  <c r="G414" i="2"/>
  <c r="E414" i="2"/>
  <c r="J413" i="2"/>
  <c r="K413" i="2" s="1"/>
  <c r="G413" i="2"/>
  <c r="L413" i="2" s="1"/>
  <c r="E413" i="2"/>
  <c r="L412" i="2"/>
  <c r="K412" i="2"/>
  <c r="J412" i="2"/>
  <c r="G412" i="2"/>
  <c r="E412" i="2"/>
  <c r="K411" i="2"/>
  <c r="J411" i="2"/>
  <c r="G411" i="2"/>
  <c r="L411" i="2" s="1"/>
  <c r="E411" i="2"/>
  <c r="J410" i="2"/>
  <c r="K410" i="2" s="1"/>
  <c r="G410" i="2"/>
  <c r="L410" i="2" s="1"/>
  <c r="E410" i="2"/>
  <c r="K409" i="2"/>
  <c r="L409" i="2" s="1"/>
  <c r="J409" i="2"/>
  <c r="G409" i="2"/>
  <c r="E409" i="2"/>
  <c r="J408" i="2"/>
  <c r="K408" i="2" s="1"/>
  <c r="G408" i="2"/>
  <c r="E408" i="2"/>
  <c r="L407" i="2"/>
  <c r="K407" i="2"/>
  <c r="J407" i="2"/>
  <c r="G407" i="2"/>
  <c r="E407" i="2"/>
  <c r="J406" i="2"/>
  <c r="K406" i="2" s="1"/>
  <c r="L406" i="2" s="1"/>
  <c r="G406" i="2"/>
  <c r="E406" i="2"/>
  <c r="J405" i="2"/>
  <c r="K405" i="2" s="1"/>
  <c r="G405" i="2"/>
  <c r="E405" i="2"/>
  <c r="L404" i="2"/>
  <c r="K404" i="2"/>
  <c r="J404" i="2"/>
  <c r="G404" i="2"/>
  <c r="E404" i="2"/>
  <c r="K403" i="2"/>
  <c r="J403" i="2"/>
  <c r="G403" i="2"/>
  <c r="L403" i="2" s="1"/>
  <c r="E403" i="2"/>
  <c r="J402" i="2"/>
  <c r="K402" i="2" s="1"/>
  <c r="G402" i="2"/>
  <c r="E402" i="2"/>
  <c r="K401" i="2"/>
  <c r="L401" i="2" s="1"/>
  <c r="J401" i="2"/>
  <c r="G401" i="2"/>
  <c r="E401" i="2"/>
  <c r="J400" i="2"/>
  <c r="K400" i="2" s="1"/>
  <c r="G400" i="2"/>
  <c r="L400" i="2" s="1"/>
  <c r="E400" i="2"/>
  <c r="L399" i="2"/>
  <c r="K399" i="2"/>
  <c r="J399" i="2"/>
  <c r="G399" i="2"/>
  <c r="E399" i="2"/>
  <c r="J398" i="2"/>
  <c r="K398" i="2" s="1"/>
  <c r="L398" i="2" s="1"/>
  <c r="G398" i="2"/>
  <c r="E398" i="2"/>
  <c r="J397" i="2"/>
  <c r="K397" i="2" s="1"/>
  <c r="G397" i="2"/>
  <c r="E397" i="2"/>
  <c r="L396" i="2"/>
  <c r="K396" i="2"/>
  <c r="J396" i="2"/>
  <c r="G396" i="2"/>
  <c r="E396" i="2"/>
  <c r="K395" i="2"/>
  <c r="J395" i="2"/>
  <c r="G395" i="2"/>
  <c r="L395" i="2" s="1"/>
  <c r="E395" i="2"/>
  <c r="J394" i="2"/>
  <c r="K394" i="2" s="1"/>
  <c r="G394" i="2"/>
  <c r="L394" i="2" s="1"/>
  <c r="E394" i="2"/>
  <c r="K393" i="2"/>
  <c r="L393" i="2" s="1"/>
  <c r="J393" i="2"/>
  <c r="G393" i="2"/>
  <c r="E393" i="2"/>
  <c r="J392" i="2"/>
  <c r="K392" i="2" s="1"/>
  <c r="G392" i="2"/>
  <c r="L392" i="2" s="1"/>
  <c r="E392" i="2"/>
  <c r="L391" i="2"/>
  <c r="K391" i="2"/>
  <c r="J391" i="2"/>
  <c r="G391" i="2"/>
  <c r="E391" i="2"/>
  <c r="J390" i="2"/>
  <c r="K390" i="2" s="1"/>
  <c r="L390" i="2" s="1"/>
  <c r="G390" i="2"/>
  <c r="E390" i="2"/>
  <c r="J389" i="2"/>
  <c r="K389" i="2" s="1"/>
  <c r="G389" i="2"/>
  <c r="L389" i="2" s="1"/>
  <c r="E389" i="2"/>
  <c r="L388" i="2"/>
  <c r="K388" i="2"/>
  <c r="J388" i="2"/>
  <c r="G388" i="2"/>
  <c r="E388" i="2"/>
  <c r="J387" i="2"/>
  <c r="K387" i="2" s="1"/>
  <c r="G387" i="2"/>
  <c r="E387" i="2"/>
  <c r="J386" i="2"/>
  <c r="K386" i="2" s="1"/>
  <c r="G386" i="2"/>
  <c r="L386" i="2" s="1"/>
  <c r="E386" i="2"/>
  <c r="L385" i="2"/>
  <c r="K385" i="2"/>
  <c r="J385" i="2"/>
  <c r="G385" i="2"/>
  <c r="E385" i="2"/>
  <c r="J384" i="2"/>
  <c r="K384" i="2" s="1"/>
  <c r="G384" i="2"/>
  <c r="L384" i="2" s="1"/>
  <c r="E384" i="2"/>
  <c r="L383" i="2"/>
  <c r="K383" i="2"/>
  <c r="J383" i="2"/>
  <c r="G383" i="2"/>
  <c r="E383" i="2"/>
  <c r="K382" i="2"/>
  <c r="L382" i="2" s="1"/>
  <c r="J382" i="2"/>
  <c r="G382" i="2"/>
  <c r="E382" i="2"/>
  <c r="J381" i="2"/>
  <c r="K381" i="2" s="1"/>
  <c r="G381" i="2"/>
  <c r="E381" i="2"/>
  <c r="L380" i="2"/>
  <c r="K380" i="2"/>
  <c r="J380" i="2"/>
  <c r="G380" i="2"/>
  <c r="E380" i="2"/>
  <c r="K379" i="2"/>
  <c r="J379" i="2"/>
  <c r="G379" i="2"/>
  <c r="E379" i="2"/>
  <c r="J378" i="2"/>
  <c r="K378" i="2" s="1"/>
  <c r="G378" i="2"/>
  <c r="E378" i="2"/>
  <c r="K377" i="2"/>
  <c r="L377" i="2" s="1"/>
  <c r="J377" i="2"/>
  <c r="G377" i="2"/>
  <c r="E377" i="2"/>
  <c r="J376" i="2"/>
  <c r="K376" i="2" s="1"/>
  <c r="G376" i="2"/>
  <c r="E376" i="2"/>
  <c r="L375" i="2"/>
  <c r="K375" i="2"/>
  <c r="J375" i="2"/>
  <c r="G375" i="2"/>
  <c r="E375" i="2"/>
  <c r="J374" i="2"/>
  <c r="K374" i="2" s="1"/>
  <c r="L374" i="2" s="1"/>
  <c r="G374" i="2"/>
  <c r="E374" i="2"/>
  <c r="J373" i="2"/>
  <c r="K373" i="2" s="1"/>
  <c r="G373" i="2"/>
  <c r="L373" i="2" s="1"/>
  <c r="E373" i="2"/>
  <c r="L372" i="2"/>
  <c r="K372" i="2"/>
  <c r="J372" i="2"/>
  <c r="G372" i="2"/>
  <c r="E372" i="2"/>
  <c r="J371" i="2"/>
  <c r="K371" i="2" s="1"/>
  <c r="G371" i="2"/>
  <c r="E371" i="2"/>
  <c r="J370" i="2"/>
  <c r="K370" i="2" s="1"/>
  <c r="G370" i="2"/>
  <c r="L370" i="2" s="1"/>
  <c r="E370" i="2"/>
  <c r="L369" i="2"/>
  <c r="K369" i="2"/>
  <c r="J369" i="2"/>
  <c r="G369" i="2"/>
  <c r="E369" i="2"/>
  <c r="J368" i="2"/>
  <c r="K368" i="2" s="1"/>
  <c r="G368" i="2"/>
  <c r="L368" i="2" s="1"/>
  <c r="E368" i="2"/>
  <c r="L367" i="2"/>
  <c r="K367" i="2"/>
  <c r="J367" i="2"/>
  <c r="G367" i="2"/>
  <c r="E367" i="2"/>
  <c r="K366" i="2"/>
  <c r="L366" i="2" s="1"/>
  <c r="J366" i="2"/>
  <c r="G366" i="2"/>
  <c r="E366" i="2"/>
  <c r="J365" i="2"/>
  <c r="K365" i="2" s="1"/>
  <c r="G365" i="2"/>
  <c r="L365" i="2" s="1"/>
  <c r="E365" i="2"/>
  <c r="L364" i="2"/>
  <c r="K364" i="2"/>
  <c r="J364" i="2"/>
  <c r="G364" i="2"/>
  <c r="E364" i="2"/>
  <c r="J363" i="2"/>
  <c r="K363" i="2" s="1"/>
  <c r="G363" i="2"/>
  <c r="E363" i="2"/>
  <c r="J362" i="2"/>
  <c r="K362" i="2" s="1"/>
  <c r="G362" i="2"/>
  <c r="E362" i="2"/>
  <c r="K361" i="2"/>
  <c r="L361" i="2" s="1"/>
  <c r="J361" i="2"/>
  <c r="G361" i="2"/>
  <c r="E361" i="2"/>
  <c r="J360" i="2"/>
  <c r="K360" i="2" s="1"/>
  <c r="G360" i="2"/>
  <c r="E360" i="2"/>
  <c r="L359" i="2"/>
  <c r="K359" i="2"/>
  <c r="J359" i="2"/>
  <c r="G359" i="2"/>
  <c r="E359" i="2"/>
  <c r="J358" i="2"/>
  <c r="K358" i="2" s="1"/>
  <c r="L358" i="2" s="1"/>
  <c r="G358" i="2"/>
  <c r="E358" i="2"/>
  <c r="J357" i="2"/>
  <c r="K357" i="2" s="1"/>
  <c r="G357" i="2"/>
  <c r="L357" i="2" s="1"/>
  <c r="E357" i="2"/>
  <c r="L356" i="2"/>
  <c r="K356" i="2"/>
  <c r="J356" i="2"/>
  <c r="G356" i="2"/>
  <c r="E356" i="2"/>
  <c r="J355" i="2"/>
  <c r="K355" i="2" s="1"/>
  <c r="G355" i="2"/>
  <c r="E355" i="2"/>
  <c r="J354" i="2"/>
  <c r="K354" i="2" s="1"/>
  <c r="G354" i="2"/>
  <c r="L354" i="2" s="1"/>
  <c r="E354" i="2"/>
  <c r="K353" i="2"/>
  <c r="L353" i="2" s="1"/>
  <c r="J353" i="2"/>
  <c r="G353" i="2"/>
  <c r="E353" i="2"/>
  <c r="J352" i="2"/>
  <c r="K352" i="2" s="1"/>
  <c r="G352" i="2"/>
  <c r="L352" i="2" s="1"/>
  <c r="E352" i="2"/>
  <c r="L351" i="2"/>
  <c r="K351" i="2"/>
  <c r="J351" i="2"/>
  <c r="G351" i="2"/>
  <c r="E351" i="2"/>
  <c r="K350" i="2"/>
  <c r="L350" i="2" s="1"/>
  <c r="J350" i="2"/>
  <c r="G350" i="2"/>
  <c r="E350" i="2"/>
  <c r="J349" i="2"/>
  <c r="K349" i="2" s="1"/>
  <c r="G349" i="2"/>
  <c r="E349" i="2"/>
  <c r="L348" i="2"/>
  <c r="K348" i="2"/>
  <c r="J348" i="2"/>
  <c r="G348" i="2"/>
  <c r="E348" i="2"/>
  <c r="K347" i="2"/>
  <c r="J347" i="2"/>
  <c r="G347" i="2"/>
  <c r="L347" i="2" s="1"/>
  <c r="E347" i="2"/>
  <c r="J346" i="2"/>
  <c r="K346" i="2" s="1"/>
  <c r="G346" i="2"/>
  <c r="E346" i="2"/>
  <c r="K345" i="2"/>
  <c r="L345" i="2" s="1"/>
  <c r="J345" i="2"/>
  <c r="G345" i="2"/>
  <c r="E345" i="2"/>
  <c r="J344" i="2"/>
  <c r="K344" i="2" s="1"/>
  <c r="G344" i="2"/>
  <c r="E344" i="2"/>
  <c r="L343" i="2"/>
  <c r="K343" i="2"/>
  <c r="J343" i="2"/>
  <c r="G343" i="2"/>
  <c r="E343" i="2"/>
  <c r="J342" i="2"/>
  <c r="K342" i="2" s="1"/>
  <c r="L342" i="2" s="1"/>
  <c r="G342" i="2"/>
  <c r="E342" i="2"/>
  <c r="J341" i="2"/>
  <c r="K341" i="2" s="1"/>
  <c r="G341" i="2"/>
  <c r="L341" i="2" s="1"/>
  <c r="E341" i="2"/>
  <c r="L340" i="2"/>
  <c r="K340" i="2"/>
  <c r="J340" i="2"/>
  <c r="G340" i="2"/>
  <c r="E340" i="2"/>
  <c r="J339" i="2"/>
  <c r="K339" i="2" s="1"/>
  <c r="G339" i="2"/>
  <c r="E339" i="2"/>
  <c r="J338" i="2"/>
  <c r="K338" i="2" s="1"/>
  <c r="G338" i="2"/>
  <c r="L338" i="2" s="1"/>
  <c r="E338" i="2"/>
  <c r="L337" i="2"/>
  <c r="K337" i="2"/>
  <c r="J337" i="2"/>
  <c r="G337" i="2"/>
  <c r="E337" i="2"/>
  <c r="J336" i="2"/>
  <c r="K336" i="2" s="1"/>
  <c r="G336" i="2"/>
  <c r="L336" i="2" s="1"/>
  <c r="E336" i="2"/>
  <c r="L335" i="2"/>
  <c r="K335" i="2"/>
  <c r="J335" i="2"/>
  <c r="G335" i="2"/>
  <c r="E335" i="2"/>
  <c r="J334" i="2"/>
  <c r="K334" i="2" s="1"/>
  <c r="L334" i="2" s="1"/>
  <c r="G334" i="2"/>
  <c r="E334" i="2"/>
  <c r="J333" i="2"/>
  <c r="K333" i="2" s="1"/>
  <c r="G333" i="2"/>
  <c r="E333" i="2"/>
  <c r="L332" i="2"/>
  <c r="K332" i="2"/>
  <c r="J332" i="2"/>
  <c r="G332" i="2"/>
  <c r="E332" i="2"/>
  <c r="K331" i="2"/>
  <c r="J331" i="2"/>
  <c r="G331" i="2"/>
  <c r="L331" i="2" s="1"/>
  <c r="E331" i="2"/>
  <c r="J330" i="2"/>
  <c r="K330" i="2" s="1"/>
  <c r="G330" i="2"/>
  <c r="L330" i="2" s="1"/>
  <c r="E330" i="2"/>
  <c r="K329" i="2"/>
  <c r="L329" i="2" s="1"/>
  <c r="J329" i="2"/>
  <c r="G329" i="2"/>
  <c r="E329" i="2"/>
  <c r="J328" i="2"/>
  <c r="K328" i="2" s="1"/>
  <c r="G328" i="2"/>
  <c r="L328" i="2" s="1"/>
  <c r="E328" i="2"/>
  <c r="L327" i="2"/>
  <c r="K327" i="2"/>
  <c r="J327" i="2"/>
  <c r="G327" i="2"/>
  <c r="E327" i="2"/>
  <c r="J326" i="2"/>
  <c r="K326" i="2" s="1"/>
  <c r="G326" i="2"/>
  <c r="E326" i="2"/>
  <c r="J325" i="2"/>
  <c r="K325" i="2" s="1"/>
  <c r="G325" i="2"/>
  <c r="L325" i="2" s="1"/>
  <c r="E325" i="2"/>
  <c r="K324" i="2"/>
  <c r="L324" i="2" s="1"/>
  <c r="J324" i="2"/>
  <c r="G324" i="2"/>
  <c r="E324" i="2"/>
  <c r="K323" i="2"/>
  <c r="L323" i="2" s="1"/>
  <c r="J323" i="2"/>
  <c r="G323" i="2"/>
  <c r="E323" i="2"/>
  <c r="J322" i="2"/>
  <c r="K322" i="2" s="1"/>
  <c r="G322" i="2"/>
  <c r="E322" i="2"/>
  <c r="K321" i="2"/>
  <c r="L321" i="2" s="1"/>
  <c r="J321" i="2"/>
  <c r="G321" i="2"/>
  <c r="E321" i="2"/>
  <c r="K320" i="2"/>
  <c r="J320" i="2"/>
  <c r="G320" i="2"/>
  <c r="L320" i="2" s="1"/>
  <c r="E320" i="2"/>
  <c r="L319" i="2"/>
  <c r="K319" i="2"/>
  <c r="J319" i="2"/>
  <c r="G319" i="2"/>
  <c r="E319" i="2"/>
  <c r="K318" i="2"/>
  <c r="J318" i="2"/>
  <c r="G318" i="2"/>
  <c r="L318" i="2" s="1"/>
  <c r="E318" i="2"/>
  <c r="J317" i="2"/>
  <c r="K317" i="2" s="1"/>
  <c r="G317" i="2"/>
  <c r="L317" i="2" s="1"/>
  <c r="E317" i="2"/>
  <c r="K316" i="2"/>
  <c r="L316" i="2" s="1"/>
  <c r="J316" i="2"/>
  <c r="G316" i="2"/>
  <c r="E316" i="2"/>
  <c r="J315" i="2"/>
  <c r="K315" i="2" s="1"/>
  <c r="G315" i="2"/>
  <c r="L315" i="2" s="1"/>
  <c r="E315" i="2"/>
  <c r="J314" i="2"/>
  <c r="K314" i="2" s="1"/>
  <c r="G314" i="2"/>
  <c r="L314" i="2" s="1"/>
  <c r="E314" i="2"/>
  <c r="J313" i="2"/>
  <c r="K313" i="2" s="1"/>
  <c r="L313" i="2" s="1"/>
  <c r="G313" i="2"/>
  <c r="E313" i="2"/>
  <c r="J312" i="2"/>
  <c r="K312" i="2" s="1"/>
  <c r="G312" i="2"/>
  <c r="E312" i="2"/>
  <c r="L311" i="2"/>
  <c r="K311" i="2"/>
  <c r="J311" i="2"/>
  <c r="G311" i="2"/>
  <c r="E311" i="2"/>
  <c r="L310" i="2"/>
  <c r="J310" i="2"/>
  <c r="K310" i="2" s="1"/>
  <c r="G310" i="2"/>
  <c r="E310" i="2"/>
  <c r="J309" i="2"/>
  <c r="K309" i="2" s="1"/>
  <c r="G309" i="2"/>
  <c r="L309" i="2" s="1"/>
  <c r="E309" i="2"/>
  <c r="L308" i="2"/>
  <c r="K308" i="2"/>
  <c r="J308" i="2"/>
  <c r="G308" i="2"/>
  <c r="E308" i="2"/>
  <c r="K307" i="2"/>
  <c r="J307" i="2"/>
  <c r="G307" i="2"/>
  <c r="L307" i="2" s="1"/>
  <c r="E307" i="2"/>
  <c r="J306" i="2"/>
  <c r="K306" i="2" s="1"/>
  <c r="G306" i="2"/>
  <c r="L306" i="2" s="1"/>
  <c r="E306" i="2"/>
  <c r="K305" i="2"/>
  <c r="L305" i="2" s="1"/>
  <c r="J305" i="2"/>
  <c r="G305" i="2"/>
  <c r="E305" i="2"/>
  <c r="J304" i="2"/>
  <c r="K304" i="2" s="1"/>
  <c r="G304" i="2"/>
  <c r="E304" i="2"/>
  <c r="L303" i="2"/>
  <c r="K303" i="2"/>
  <c r="J303" i="2"/>
  <c r="G303" i="2"/>
  <c r="E303" i="2"/>
  <c r="K302" i="2"/>
  <c r="J302" i="2"/>
  <c r="G302" i="2"/>
  <c r="L302" i="2" s="1"/>
  <c r="E302" i="2"/>
  <c r="J301" i="2"/>
  <c r="K301" i="2" s="1"/>
  <c r="G301" i="2"/>
  <c r="E301" i="2"/>
  <c r="K300" i="2"/>
  <c r="L300" i="2" s="1"/>
  <c r="J300" i="2"/>
  <c r="G300" i="2"/>
  <c r="E300" i="2"/>
  <c r="J299" i="2"/>
  <c r="K299" i="2" s="1"/>
  <c r="L299" i="2" s="1"/>
  <c r="G299" i="2"/>
  <c r="E299" i="2"/>
  <c r="J298" i="2"/>
  <c r="K298" i="2" s="1"/>
  <c r="G298" i="2"/>
  <c r="L298" i="2" s="1"/>
  <c r="E298" i="2"/>
  <c r="J297" i="2"/>
  <c r="K297" i="2" s="1"/>
  <c r="L297" i="2" s="1"/>
  <c r="G297" i="2"/>
  <c r="E297" i="2"/>
  <c r="J296" i="2"/>
  <c r="K296" i="2" s="1"/>
  <c r="G296" i="2"/>
  <c r="E296" i="2"/>
  <c r="L295" i="2"/>
  <c r="K295" i="2"/>
  <c r="J295" i="2"/>
  <c r="G295" i="2"/>
  <c r="E295" i="2"/>
  <c r="J294" i="2"/>
  <c r="K294" i="2" s="1"/>
  <c r="L294" i="2" s="1"/>
  <c r="G294" i="2"/>
  <c r="E294" i="2"/>
  <c r="J293" i="2"/>
  <c r="K293" i="2" s="1"/>
  <c r="G293" i="2"/>
  <c r="L293" i="2" s="1"/>
  <c r="E293" i="2"/>
  <c r="L292" i="2"/>
  <c r="K292" i="2"/>
  <c r="J292" i="2"/>
  <c r="G292" i="2"/>
  <c r="E292" i="2"/>
  <c r="K291" i="2"/>
  <c r="J291" i="2"/>
  <c r="G291" i="2"/>
  <c r="L291" i="2" s="1"/>
  <c r="E291" i="2"/>
  <c r="J290" i="2"/>
  <c r="K290" i="2" s="1"/>
  <c r="G290" i="2"/>
  <c r="E290" i="2"/>
  <c r="K289" i="2"/>
  <c r="L289" i="2" s="1"/>
  <c r="J289" i="2"/>
  <c r="G289" i="2"/>
  <c r="E289" i="2"/>
  <c r="K288" i="2"/>
  <c r="J288" i="2"/>
  <c r="G288" i="2"/>
  <c r="E288" i="2"/>
  <c r="L287" i="2"/>
  <c r="K287" i="2"/>
  <c r="J287" i="2"/>
  <c r="G287" i="2"/>
  <c r="E287" i="2"/>
  <c r="J286" i="2"/>
  <c r="K286" i="2" s="1"/>
  <c r="G286" i="2"/>
  <c r="L286" i="2" s="1"/>
  <c r="E286" i="2"/>
  <c r="J285" i="2"/>
  <c r="K285" i="2" s="1"/>
  <c r="G285" i="2"/>
  <c r="E285" i="2"/>
  <c r="K284" i="2"/>
  <c r="L284" i="2" s="1"/>
  <c r="J284" i="2"/>
  <c r="G284" i="2"/>
  <c r="E284" i="2"/>
  <c r="J283" i="2"/>
  <c r="K283" i="2" s="1"/>
  <c r="L283" i="2" s="1"/>
  <c r="G283" i="2"/>
  <c r="E283" i="2"/>
  <c r="J282" i="2"/>
  <c r="K282" i="2" s="1"/>
  <c r="G282" i="2"/>
  <c r="L282" i="2" s="1"/>
  <c r="E282" i="2"/>
  <c r="J281" i="2"/>
  <c r="K281" i="2" s="1"/>
  <c r="L281" i="2" s="1"/>
  <c r="G281" i="2"/>
  <c r="E281" i="2"/>
  <c r="J280" i="2"/>
  <c r="K280" i="2" s="1"/>
  <c r="G280" i="2"/>
  <c r="E280" i="2"/>
  <c r="L279" i="2"/>
  <c r="K279" i="2"/>
  <c r="J279" i="2"/>
  <c r="G279" i="2"/>
  <c r="E279" i="2"/>
  <c r="J278" i="2"/>
  <c r="K278" i="2" s="1"/>
  <c r="L278" i="2" s="1"/>
  <c r="G278" i="2"/>
  <c r="E278" i="2"/>
  <c r="J277" i="2"/>
  <c r="K277" i="2" s="1"/>
  <c r="G277" i="2"/>
  <c r="L277" i="2" s="1"/>
  <c r="E277" i="2"/>
  <c r="L276" i="2"/>
  <c r="K276" i="2"/>
  <c r="J276" i="2"/>
  <c r="G276" i="2"/>
  <c r="E276" i="2"/>
  <c r="J275" i="2"/>
  <c r="K275" i="2" s="1"/>
  <c r="G275" i="2"/>
  <c r="L275" i="2" s="1"/>
  <c r="E275" i="2"/>
  <c r="J274" i="2"/>
  <c r="K274" i="2" s="1"/>
  <c r="G274" i="2"/>
  <c r="E274" i="2"/>
  <c r="J273" i="2"/>
  <c r="K273" i="2" s="1"/>
  <c r="L273" i="2" s="1"/>
  <c r="G273" i="2"/>
  <c r="E273" i="2"/>
  <c r="K272" i="2"/>
  <c r="J272" i="2"/>
  <c r="G272" i="2"/>
  <c r="L272" i="2" s="1"/>
  <c r="E272" i="2"/>
  <c r="L271" i="2"/>
  <c r="K271" i="2"/>
  <c r="J271" i="2"/>
  <c r="G271" i="2"/>
  <c r="E271" i="2"/>
  <c r="K270" i="2"/>
  <c r="L270" i="2" s="1"/>
  <c r="J270" i="2"/>
  <c r="G270" i="2"/>
  <c r="E270" i="2"/>
  <c r="J269" i="2"/>
  <c r="K269" i="2" s="1"/>
  <c r="G269" i="2"/>
  <c r="E269" i="2"/>
  <c r="K268" i="2"/>
  <c r="L268" i="2" s="1"/>
  <c r="J268" i="2"/>
  <c r="G268" i="2"/>
  <c r="E268" i="2"/>
  <c r="J267" i="2"/>
  <c r="K267" i="2" s="1"/>
  <c r="L267" i="2" s="1"/>
  <c r="G267" i="2"/>
  <c r="E267" i="2"/>
  <c r="J266" i="2"/>
  <c r="K266" i="2" s="1"/>
  <c r="G266" i="2"/>
  <c r="L266" i="2" s="1"/>
  <c r="E266" i="2"/>
  <c r="J265" i="2"/>
  <c r="K265" i="2" s="1"/>
  <c r="L265" i="2" s="1"/>
  <c r="G265" i="2"/>
  <c r="E265" i="2"/>
  <c r="J264" i="2"/>
  <c r="K264" i="2" s="1"/>
  <c r="G264" i="2"/>
  <c r="E264" i="2"/>
  <c r="L263" i="2"/>
  <c r="K263" i="2"/>
  <c r="J263" i="2"/>
  <c r="G263" i="2"/>
  <c r="E263" i="2"/>
  <c r="J262" i="2"/>
  <c r="K262" i="2" s="1"/>
  <c r="G262" i="2"/>
  <c r="E262" i="2"/>
  <c r="J261" i="2"/>
  <c r="K261" i="2" s="1"/>
  <c r="G261" i="2"/>
  <c r="L261" i="2" s="1"/>
  <c r="E261" i="2"/>
  <c r="K260" i="2"/>
  <c r="L260" i="2" s="1"/>
  <c r="J260" i="2"/>
  <c r="G260" i="2"/>
  <c r="E260" i="2"/>
  <c r="K259" i="2"/>
  <c r="L259" i="2" s="1"/>
  <c r="J259" i="2"/>
  <c r="G259" i="2"/>
  <c r="E259" i="2"/>
  <c r="J258" i="2"/>
  <c r="K258" i="2" s="1"/>
  <c r="G258" i="2"/>
  <c r="E258" i="2"/>
  <c r="K257" i="2"/>
  <c r="L257" i="2" s="1"/>
  <c r="J257" i="2"/>
  <c r="G257" i="2"/>
  <c r="E257" i="2"/>
  <c r="K256" i="2"/>
  <c r="J256" i="2"/>
  <c r="G256" i="2"/>
  <c r="L256" i="2" s="1"/>
  <c r="E256" i="2"/>
  <c r="L255" i="2"/>
  <c r="K255" i="2"/>
  <c r="J255" i="2"/>
  <c r="G255" i="2"/>
  <c r="E255" i="2"/>
  <c r="K254" i="2"/>
  <c r="J254" i="2"/>
  <c r="G254" i="2"/>
  <c r="L254" i="2" s="1"/>
  <c r="E254" i="2"/>
  <c r="J253" i="2"/>
  <c r="K253" i="2" s="1"/>
  <c r="G253" i="2"/>
  <c r="L253" i="2" s="1"/>
  <c r="E253" i="2"/>
  <c r="K252" i="2"/>
  <c r="L252" i="2" s="1"/>
  <c r="J252" i="2"/>
  <c r="G252" i="2"/>
  <c r="E252" i="2"/>
  <c r="J251" i="2"/>
  <c r="K251" i="2" s="1"/>
  <c r="G251" i="2"/>
  <c r="E251" i="2"/>
  <c r="J250" i="2"/>
  <c r="K250" i="2" s="1"/>
  <c r="G250" i="2"/>
  <c r="L250" i="2" s="1"/>
  <c r="E250" i="2"/>
  <c r="J249" i="2"/>
  <c r="K249" i="2" s="1"/>
  <c r="L249" i="2" s="1"/>
  <c r="G249" i="2"/>
  <c r="E249" i="2"/>
  <c r="J248" i="2"/>
  <c r="K248" i="2" s="1"/>
  <c r="G248" i="2"/>
  <c r="E248" i="2"/>
  <c r="L247" i="2"/>
  <c r="K247" i="2"/>
  <c r="J247" i="2"/>
  <c r="G247" i="2"/>
  <c r="E247" i="2"/>
  <c r="J246" i="2"/>
  <c r="K246" i="2" s="1"/>
  <c r="L246" i="2" s="1"/>
  <c r="G246" i="2"/>
  <c r="E246" i="2"/>
  <c r="J245" i="2"/>
  <c r="K245" i="2" s="1"/>
  <c r="G245" i="2"/>
  <c r="L245" i="2" s="1"/>
  <c r="E245" i="2"/>
  <c r="L244" i="2"/>
  <c r="K244" i="2"/>
  <c r="J244" i="2"/>
  <c r="G244" i="2"/>
  <c r="E244" i="2"/>
  <c r="K243" i="2"/>
  <c r="J243" i="2"/>
  <c r="G243" i="2"/>
  <c r="L243" i="2" s="1"/>
  <c r="E243" i="2"/>
  <c r="J242" i="2"/>
  <c r="K242" i="2" s="1"/>
  <c r="G242" i="2"/>
  <c r="L242" i="2" s="1"/>
  <c r="E242" i="2"/>
  <c r="K241" i="2"/>
  <c r="L241" i="2" s="1"/>
  <c r="J241" i="2"/>
  <c r="G241" i="2"/>
  <c r="E241" i="2"/>
  <c r="J240" i="2"/>
  <c r="K240" i="2" s="1"/>
  <c r="G240" i="2"/>
  <c r="E240" i="2"/>
  <c r="L239" i="2"/>
  <c r="K239" i="2"/>
  <c r="J239" i="2"/>
  <c r="G239" i="2"/>
  <c r="E239" i="2"/>
  <c r="K238" i="2"/>
  <c r="J238" i="2"/>
  <c r="G238" i="2"/>
  <c r="L238" i="2" s="1"/>
  <c r="E238" i="2"/>
  <c r="J237" i="2"/>
  <c r="K237" i="2" s="1"/>
  <c r="G237" i="2"/>
  <c r="E237" i="2"/>
  <c r="K236" i="2"/>
  <c r="L236" i="2" s="1"/>
  <c r="J236" i="2"/>
  <c r="G236" i="2"/>
  <c r="E236" i="2"/>
  <c r="J235" i="2"/>
  <c r="K235" i="2" s="1"/>
  <c r="L235" i="2" s="1"/>
  <c r="G235" i="2"/>
  <c r="E235" i="2"/>
  <c r="J234" i="2"/>
  <c r="K234" i="2" s="1"/>
  <c r="G234" i="2"/>
  <c r="L234" i="2" s="1"/>
  <c r="E234" i="2"/>
  <c r="J233" i="2"/>
  <c r="K233" i="2" s="1"/>
  <c r="L233" i="2" s="1"/>
  <c r="G233" i="2"/>
  <c r="E233" i="2"/>
  <c r="J232" i="2"/>
  <c r="K232" i="2" s="1"/>
  <c r="G232" i="2"/>
  <c r="E232" i="2"/>
  <c r="L231" i="2"/>
  <c r="K231" i="2"/>
  <c r="J231" i="2"/>
  <c r="G231" i="2"/>
  <c r="E231" i="2"/>
  <c r="J230" i="2"/>
  <c r="K230" i="2" s="1"/>
  <c r="L230" i="2" s="1"/>
  <c r="G230" i="2"/>
  <c r="E230" i="2"/>
  <c r="J229" i="2"/>
  <c r="K229" i="2" s="1"/>
  <c r="G229" i="2"/>
  <c r="L229" i="2" s="1"/>
  <c r="E229" i="2"/>
  <c r="L228" i="2"/>
  <c r="K228" i="2"/>
  <c r="J228" i="2"/>
  <c r="G228" i="2"/>
  <c r="E228" i="2"/>
  <c r="K227" i="2"/>
  <c r="J227" i="2"/>
  <c r="G227" i="2"/>
  <c r="L227" i="2" s="1"/>
  <c r="E227" i="2"/>
  <c r="J226" i="2"/>
  <c r="K226" i="2" s="1"/>
  <c r="G226" i="2"/>
  <c r="E226" i="2"/>
  <c r="K225" i="2"/>
  <c r="L225" i="2" s="1"/>
  <c r="J225" i="2"/>
  <c r="G225" i="2"/>
  <c r="E225" i="2"/>
  <c r="K224" i="2"/>
  <c r="J224" i="2"/>
  <c r="G224" i="2"/>
  <c r="E224" i="2"/>
  <c r="L223" i="2"/>
  <c r="K223" i="2"/>
  <c r="J223" i="2"/>
  <c r="G223" i="2"/>
  <c r="E223" i="2"/>
  <c r="J222" i="2"/>
  <c r="K222" i="2" s="1"/>
  <c r="G222" i="2"/>
  <c r="E222" i="2"/>
  <c r="J221" i="2"/>
  <c r="K221" i="2" s="1"/>
  <c r="G221" i="2"/>
  <c r="E221" i="2"/>
  <c r="K220" i="2"/>
  <c r="L220" i="2" s="1"/>
  <c r="J220" i="2"/>
  <c r="G220" i="2"/>
  <c r="E220" i="2"/>
  <c r="J219" i="2"/>
  <c r="K219" i="2" s="1"/>
  <c r="L219" i="2" s="1"/>
  <c r="G219" i="2"/>
  <c r="E219" i="2"/>
  <c r="J218" i="2"/>
  <c r="K218" i="2" s="1"/>
  <c r="G218" i="2"/>
  <c r="L218" i="2" s="1"/>
  <c r="E218" i="2"/>
  <c r="J217" i="2"/>
  <c r="K217" i="2" s="1"/>
  <c r="L217" i="2" s="1"/>
  <c r="G217" i="2"/>
  <c r="E217" i="2"/>
  <c r="J216" i="2"/>
  <c r="K216" i="2" s="1"/>
  <c r="G216" i="2"/>
  <c r="E216" i="2"/>
  <c r="L215" i="2"/>
  <c r="K215" i="2"/>
  <c r="J215" i="2"/>
  <c r="G215" i="2"/>
  <c r="E215" i="2"/>
  <c r="J214" i="2"/>
  <c r="K214" i="2" s="1"/>
  <c r="L214" i="2" s="1"/>
  <c r="G214" i="2"/>
  <c r="E214" i="2"/>
  <c r="J213" i="2"/>
  <c r="K213" i="2" s="1"/>
  <c r="G213" i="2"/>
  <c r="L213" i="2" s="1"/>
  <c r="E213" i="2"/>
  <c r="L212" i="2"/>
  <c r="K212" i="2"/>
  <c r="J212" i="2"/>
  <c r="G212" i="2"/>
  <c r="E212" i="2"/>
  <c r="J211" i="2"/>
  <c r="K211" i="2" s="1"/>
  <c r="G211" i="2"/>
  <c r="L211" i="2" s="1"/>
  <c r="E211" i="2"/>
  <c r="J210" i="2"/>
  <c r="K210" i="2" s="1"/>
  <c r="G210" i="2"/>
  <c r="E210" i="2"/>
  <c r="J209" i="2"/>
  <c r="K209" i="2" s="1"/>
  <c r="L209" i="2" s="1"/>
  <c r="G209" i="2"/>
  <c r="E209" i="2"/>
  <c r="K208" i="2"/>
  <c r="J208" i="2"/>
  <c r="G208" i="2"/>
  <c r="L208" i="2" s="1"/>
  <c r="E208" i="2"/>
  <c r="L207" i="2"/>
  <c r="K207" i="2"/>
  <c r="J207" i="2"/>
  <c r="G207" i="2"/>
  <c r="E207" i="2"/>
  <c r="K206" i="2"/>
  <c r="L206" i="2" s="1"/>
  <c r="J206" i="2"/>
  <c r="G206" i="2"/>
  <c r="E206" i="2"/>
  <c r="J205" i="2"/>
  <c r="K205" i="2" s="1"/>
  <c r="G205" i="2"/>
  <c r="E205" i="2"/>
  <c r="K204" i="2"/>
  <c r="L204" i="2" s="1"/>
  <c r="J204" i="2"/>
  <c r="G204" i="2"/>
  <c r="E204" i="2"/>
  <c r="J203" i="2"/>
  <c r="K203" i="2" s="1"/>
  <c r="L203" i="2" s="1"/>
  <c r="G203" i="2"/>
  <c r="E203" i="2"/>
  <c r="J202" i="2"/>
  <c r="K202" i="2" s="1"/>
  <c r="G202" i="2"/>
  <c r="L202" i="2" s="1"/>
  <c r="E202" i="2"/>
  <c r="J201" i="2"/>
  <c r="K201" i="2" s="1"/>
  <c r="L201" i="2" s="1"/>
  <c r="G201" i="2"/>
  <c r="E201" i="2"/>
  <c r="J200" i="2"/>
  <c r="K200" i="2" s="1"/>
  <c r="G200" i="2"/>
  <c r="E200" i="2"/>
  <c r="L199" i="2"/>
  <c r="K199" i="2"/>
  <c r="J199" i="2"/>
  <c r="G199" i="2"/>
  <c r="E199" i="2"/>
  <c r="J198" i="2"/>
  <c r="K198" i="2" s="1"/>
  <c r="G198" i="2"/>
  <c r="L198" i="2" s="1"/>
  <c r="E198" i="2"/>
  <c r="J197" i="2"/>
  <c r="K197" i="2" s="1"/>
  <c r="G197" i="2"/>
  <c r="L197" i="2" s="1"/>
  <c r="E197" i="2"/>
  <c r="K196" i="2"/>
  <c r="L196" i="2" s="1"/>
  <c r="J196" i="2"/>
  <c r="G196" i="2"/>
  <c r="E196" i="2"/>
  <c r="K195" i="2"/>
  <c r="L195" i="2" s="1"/>
  <c r="J195" i="2"/>
  <c r="G195" i="2"/>
  <c r="E195" i="2"/>
  <c r="J194" i="2"/>
  <c r="K194" i="2" s="1"/>
  <c r="G194" i="2"/>
  <c r="E194" i="2"/>
  <c r="K193" i="2"/>
  <c r="L193" i="2" s="1"/>
  <c r="J193" i="2"/>
  <c r="G193" i="2"/>
  <c r="E193" i="2"/>
  <c r="K192" i="2"/>
  <c r="J192" i="2"/>
  <c r="G192" i="2"/>
  <c r="L192" i="2" s="1"/>
  <c r="E192" i="2"/>
  <c r="L191" i="2"/>
  <c r="K191" i="2"/>
  <c r="J191" i="2"/>
  <c r="G191" i="2"/>
  <c r="E191" i="2"/>
  <c r="K190" i="2"/>
  <c r="J190" i="2"/>
  <c r="G190" i="2"/>
  <c r="L190" i="2" s="1"/>
  <c r="E190" i="2"/>
  <c r="J189" i="2"/>
  <c r="K189" i="2" s="1"/>
  <c r="G189" i="2"/>
  <c r="L189" i="2" s="1"/>
  <c r="E189" i="2"/>
  <c r="K188" i="2"/>
  <c r="L188" i="2" s="1"/>
  <c r="J188" i="2"/>
  <c r="G188" i="2"/>
  <c r="E188" i="2"/>
  <c r="J187" i="2"/>
  <c r="K187" i="2" s="1"/>
  <c r="G187" i="2"/>
  <c r="E187" i="2"/>
  <c r="J186" i="2"/>
  <c r="K186" i="2" s="1"/>
  <c r="G186" i="2"/>
  <c r="L186" i="2" s="1"/>
  <c r="E186" i="2"/>
  <c r="J185" i="2"/>
  <c r="K185" i="2" s="1"/>
  <c r="L185" i="2" s="1"/>
  <c r="G185" i="2"/>
  <c r="E185" i="2"/>
  <c r="J184" i="2"/>
  <c r="K184" i="2" s="1"/>
  <c r="G184" i="2"/>
  <c r="E184" i="2"/>
  <c r="L183" i="2"/>
  <c r="K183" i="2"/>
  <c r="J183" i="2"/>
  <c r="G183" i="2"/>
  <c r="E183" i="2"/>
  <c r="J182" i="2"/>
  <c r="K182" i="2" s="1"/>
  <c r="L182" i="2" s="1"/>
  <c r="G182" i="2"/>
  <c r="E182" i="2"/>
  <c r="J181" i="2"/>
  <c r="K181" i="2" s="1"/>
  <c r="G181" i="2"/>
  <c r="L181" i="2" s="1"/>
  <c r="E181" i="2"/>
  <c r="L180" i="2"/>
  <c r="K180" i="2"/>
  <c r="J180" i="2"/>
  <c r="G180" i="2"/>
  <c r="E180" i="2"/>
  <c r="K179" i="2"/>
  <c r="J179" i="2"/>
  <c r="G179" i="2"/>
  <c r="L179" i="2" s="1"/>
  <c r="E179" i="2"/>
  <c r="J178" i="2"/>
  <c r="K178" i="2" s="1"/>
  <c r="G178" i="2"/>
  <c r="L178" i="2" s="1"/>
  <c r="E178" i="2"/>
  <c r="K177" i="2"/>
  <c r="L177" i="2" s="1"/>
  <c r="J177" i="2"/>
  <c r="G177" i="2"/>
  <c r="E177" i="2"/>
  <c r="J176" i="2"/>
  <c r="K176" i="2" s="1"/>
  <c r="G176" i="2"/>
  <c r="E176" i="2"/>
  <c r="L175" i="2"/>
  <c r="K175" i="2"/>
  <c r="J175" i="2"/>
  <c r="G175" i="2"/>
  <c r="E175" i="2"/>
  <c r="J174" i="2"/>
  <c r="K174" i="2" s="1"/>
  <c r="L174" i="2" s="1"/>
  <c r="G174" i="2"/>
  <c r="E174" i="2"/>
  <c r="J173" i="2"/>
  <c r="K173" i="2" s="1"/>
  <c r="G173" i="2"/>
  <c r="E173" i="2"/>
  <c r="K172" i="2"/>
  <c r="L172" i="2" s="1"/>
  <c r="J172" i="2"/>
  <c r="G172" i="2"/>
  <c r="E172" i="2"/>
  <c r="J171" i="2"/>
  <c r="K171" i="2" s="1"/>
  <c r="G171" i="2"/>
  <c r="L171" i="2" s="1"/>
  <c r="E171" i="2"/>
  <c r="J170" i="2"/>
  <c r="K170" i="2" s="1"/>
  <c r="G170" i="2"/>
  <c r="L170" i="2" s="1"/>
  <c r="E170" i="2"/>
  <c r="J169" i="2"/>
  <c r="K169" i="2" s="1"/>
  <c r="L169" i="2" s="1"/>
  <c r="G169" i="2"/>
  <c r="E169" i="2"/>
  <c r="K168" i="2"/>
  <c r="L168" i="2" s="1"/>
  <c r="J168" i="2"/>
  <c r="G168" i="2"/>
  <c r="E168" i="2"/>
  <c r="L167" i="2"/>
  <c r="K167" i="2"/>
  <c r="J167" i="2"/>
  <c r="G167" i="2"/>
  <c r="E167" i="2"/>
  <c r="J166" i="2"/>
  <c r="K166" i="2" s="1"/>
  <c r="G166" i="2"/>
  <c r="E166" i="2"/>
  <c r="K165" i="2"/>
  <c r="J165" i="2"/>
  <c r="G165" i="2"/>
  <c r="L165" i="2" s="1"/>
  <c r="E165" i="2"/>
  <c r="K164" i="2"/>
  <c r="L164" i="2" s="1"/>
  <c r="J164" i="2"/>
  <c r="G164" i="2"/>
  <c r="E164" i="2"/>
  <c r="K163" i="2"/>
  <c r="L163" i="2" s="1"/>
  <c r="J163" i="2"/>
  <c r="G163" i="2"/>
  <c r="E163" i="2"/>
  <c r="J162" i="2"/>
  <c r="K162" i="2" s="1"/>
  <c r="G162" i="2"/>
  <c r="E162" i="2"/>
  <c r="K161" i="2"/>
  <c r="L161" i="2" s="1"/>
  <c r="J161" i="2"/>
  <c r="G161" i="2"/>
  <c r="E161" i="2"/>
  <c r="J160" i="2"/>
  <c r="K160" i="2" s="1"/>
  <c r="L160" i="2" s="1"/>
  <c r="G160" i="2"/>
  <c r="E160" i="2"/>
  <c r="K159" i="2"/>
  <c r="J159" i="2"/>
  <c r="G159" i="2"/>
  <c r="L159" i="2" s="1"/>
  <c r="E159" i="2"/>
  <c r="J158" i="2"/>
  <c r="K158" i="2" s="1"/>
  <c r="L158" i="2" s="1"/>
  <c r="G158" i="2"/>
  <c r="E158" i="2"/>
  <c r="J157" i="2"/>
  <c r="K157" i="2" s="1"/>
  <c r="G157" i="2"/>
  <c r="E157" i="2"/>
  <c r="K156" i="2"/>
  <c r="L156" i="2" s="1"/>
  <c r="J156" i="2"/>
  <c r="G156" i="2"/>
  <c r="E156" i="2"/>
  <c r="J155" i="2"/>
  <c r="K155" i="2" s="1"/>
  <c r="L155" i="2" s="1"/>
  <c r="G155" i="2"/>
  <c r="E155" i="2"/>
  <c r="J154" i="2"/>
  <c r="K154" i="2" s="1"/>
  <c r="G154" i="2"/>
  <c r="L154" i="2" s="1"/>
  <c r="E154" i="2"/>
  <c r="J153" i="2"/>
  <c r="K153" i="2" s="1"/>
  <c r="L153" i="2" s="1"/>
  <c r="G153" i="2"/>
  <c r="E153" i="2"/>
  <c r="J152" i="2"/>
  <c r="K152" i="2" s="1"/>
  <c r="G152" i="2"/>
  <c r="E152" i="2"/>
  <c r="L151" i="2"/>
  <c r="K151" i="2"/>
  <c r="J151" i="2"/>
  <c r="G151" i="2"/>
  <c r="E151" i="2"/>
  <c r="K150" i="2"/>
  <c r="J150" i="2"/>
  <c r="G150" i="2"/>
  <c r="L150" i="2" s="1"/>
  <c r="E150" i="2"/>
  <c r="K149" i="2"/>
  <c r="J149" i="2"/>
  <c r="G149" i="2"/>
  <c r="E149" i="2"/>
  <c r="L148" i="2"/>
  <c r="K148" i="2"/>
  <c r="J148" i="2"/>
  <c r="G148" i="2"/>
  <c r="E148" i="2"/>
  <c r="J147" i="2"/>
  <c r="K147" i="2" s="1"/>
  <c r="G147" i="2"/>
  <c r="L147" i="2" s="1"/>
  <c r="E147" i="2"/>
  <c r="J146" i="2"/>
  <c r="K146" i="2" s="1"/>
  <c r="G146" i="2"/>
  <c r="E146" i="2"/>
  <c r="J145" i="2"/>
  <c r="K145" i="2" s="1"/>
  <c r="L145" i="2" s="1"/>
  <c r="G145" i="2"/>
  <c r="E145" i="2"/>
  <c r="J144" i="2"/>
  <c r="K144" i="2" s="1"/>
  <c r="L144" i="2" s="1"/>
  <c r="G144" i="2"/>
  <c r="E144" i="2"/>
  <c r="K143" i="2"/>
  <c r="J143" i="2"/>
  <c r="G143" i="2"/>
  <c r="L143" i="2" s="1"/>
  <c r="E143" i="2"/>
  <c r="J142" i="2"/>
  <c r="K142" i="2" s="1"/>
  <c r="L142" i="2" s="1"/>
  <c r="G142" i="2"/>
  <c r="E142" i="2"/>
  <c r="J141" i="2"/>
  <c r="K141" i="2" s="1"/>
  <c r="G141" i="2"/>
  <c r="E141" i="2"/>
  <c r="K140" i="2"/>
  <c r="L140" i="2" s="1"/>
  <c r="J140" i="2"/>
  <c r="G140" i="2"/>
  <c r="E140" i="2"/>
  <c r="J139" i="2"/>
  <c r="K139" i="2" s="1"/>
  <c r="L139" i="2" s="1"/>
  <c r="G139" i="2"/>
  <c r="E139" i="2"/>
  <c r="J138" i="2"/>
  <c r="K138" i="2" s="1"/>
  <c r="G138" i="2"/>
  <c r="L138" i="2" s="1"/>
  <c r="E138" i="2"/>
  <c r="J137" i="2"/>
  <c r="K137" i="2" s="1"/>
  <c r="L137" i="2" s="1"/>
  <c r="G137" i="2"/>
  <c r="E137" i="2"/>
  <c r="K136" i="2"/>
  <c r="J136" i="2"/>
  <c r="G136" i="2"/>
  <c r="L136" i="2" s="1"/>
  <c r="E136" i="2"/>
  <c r="L135" i="2"/>
  <c r="K135" i="2"/>
  <c r="J135" i="2"/>
  <c r="G135" i="2"/>
  <c r="E135" i="2"/>
  <c r="K134" i="2"/>
  <c r="J134" i="2"/>
  <c r="G134" i="2"/>
  <c r="L134" i="2" s="1"/>
  <c r="E134" i="2"/>
  <c r="J133" i="2"/>
  <c r="K133" i="2" s="1"/>
  <c r="G133" i="2"/>
  <c r="E133" i="2"/>
  <c r="L132" i="2"/>
  <c r="K132" i="2"/>
  <c r="J132" i="2"/>
  <c r="G132" i="2"/>
  <c r="E132" i="2"/>
  <c r="K131" i="2"/>
  <c r="J131" i="2"/>
  <c r="G131" i="2"/>
  <c r="L131" i="2" s="1"/>
  <c r="E131" i="2"/>
  <c r="J130" i="2"/>
  <c r="K130" i="2" s="1"/>
  <c r="G130" i="2"/>
  <c r="E130" i="2"/>
  <c r="K129" i="2"/>
  <c r="L129" i="2" s="1"/>
  <c r="J129" i="2"/>
  <c r="G129" i="2"/>
  <c r="E129" i="2"/>
  <c r="J128" i="2"/>
  <c r="K128" i="2" s="1"/>
  <c r="L128" i="2" s="1"/>
  <c r="G128" i="2"/>
  <c r="E128" i="2"/>
  <c r="K127" i="2"/>
  <c r="J127" i="2"/>
  <c r="G127" i="2"/>
  <c r="L127" i="2" s="1"/>
  <c r="E127" i="2"/>
  <c r="J126" i="2"/>
  <c r="K126" i="2" s="1"/>
  <c r="G126" i="2"/>
  <c r="L126" i="2" s="1"/>
  <c r="E126" i="2"/>
  <c r="J125" i="2"/>
  <c r="K125" i="2" s="1"/>
  <c r="G125" i="2"/>
  <c r="E125" i="2"/>
  <c r="K124" i="2"/>
  <c r="L124" i="2" s="1"/>
  <c r="J124" i="2"/>
  <c r="G124" i="2"/>
  <c r="E124" i="2"/>
  <c r="J123" i="2"/>
  <c r="K123" i="2" s="1"/>
  <c r="L123" i="2" s="1"/>
  <c r="G123" i="2"/>
  <c r="E123" i="2"/>
  <c r="J122" i="2"/>
  <c r="K122" i="2" s="1"/>
  <c r="G122" i="2"/>
  <c r="L122" i="2" s="1"/>
  <c r="E122" i="2"/>
  <c r="L121" i="2"/>
  <c r="J121" i="2"/>
  <c r="K121" i="2" s="1"/>
  <c r="G121" i="2"/>
  <c r="E121" i="2"/>
  <c r="K120" i="2"/>
  <c r="J120" i="2"/>
  <c r="G120" i="2"/>
  <c r="L120" i="2" s="1"/>
  <c r="E120" i="2"/>
  <c r="K119" i="2"/>
  <c r="J119" i="2"/>
  <c r="G119" i="2"/>
  <c r="L119" i="2" s="1"/>
  <c r="E119" i="2"/>
  <c r="K118" i="2"/>
  <c r="L118" i="2" s="1"/>
  <c r="J118" i="2"/>
  <c r="G118" i="2"/>
  <c r="E118" i="2"/>
  <c r="K117" i="2"/>
  <c r="J117" i="2"/>
  <c r="G117" i="2"/>
  <c r="E117" i="2"/>
  <c r="L116" i="2"/>
  <c r="K116" i="2"/>
  <c r="J116" i="2"/>
  <c r="G116" i="2"/>
  <c r="E116" i="2"/>
  <c r="K115" i="2"/>
  <c r="J115" i="2"/>
  <c r="G115" i="2"/>
  <c r="L115" i="2" s="1"/>
  <c r="E115" i="2"/>
  <c r="J114" i="2"/>
  <c r="K114" i="2" s="1"/>
  <c r="G114" i="2"/>
  <c r="L114" i="2" s="1"/>
  <c r="E114" i="2"/>
  <c r="K113" i="2"/>
  <c r="L113" i="2" s="1"/>
  <c r="J113" i="2"/>
  <c r="G113" i="2"/>
  <c r="E113" i="2"/>
  <c r="J112" i="2"/>
  <c r="K112" i="2" s="1"/>
  <c r="G112" i="2"/>
  <c r="L112" i="2" s="1"/>
  <c r="E112" i="2"/>
  <c r="L111" i="2"/>
  <c r="K111" i="2"/>
  <c r="J111" i="2"/>
  <c r="G111" i="2"/>
  <c r="E111" i="2"/>
  <c r="J110" i="2"/>
  <c r="K110" i="2" s="1"/>
  <c r="L110" i="2" s="1"/>
  <c r="G110" i="2"/>
  <c r="E110" i="2"/>
  <c r="J109" i="2"/>
  <c r="K109" i="2" s="1"/>
  <c r="G109" i="2"/>
  <c r="E109" i="2"/>
  <c r="K108" i="2"/>
  <c r="L108" i="2" s="1"/>
  <c r="J108" i="2"/>
  <c r="G108" i="2"/>
  <c r="E108" i="2"/>
  <c r="J107" i="2"/>
  <c r="K107" i="2" s="1"/>
  <c r="G107" i="2"/>
  <c r="E107" i="2"/>
  <c r="J106" i="2"/>
  <c r="K106" i="2" s="1"/>
  <c r="G106" i="2"/>
  <c r="L106" i="2" s="1"/>
  <c r="E106" i="2"/>
  <c r="J105" i="2"/>
  <c r="K105" i="2" s="1"/>
  <c r="L105" i="2" s="1"/>
  <c r="G105" i="2"/>
  <c r="E105" i="2"/>
  <c r="K104" i="2"/>
  <c r="L104" i="2" s="1"/>
  <c r="J104" i="2"/>
  <c r="G104" i="2"/>
  <c r="E104" i="2"/>
  <c r="L103" i="2"/>
  <c r="K103" i="2"/>
  <c r="J103" i="2"/>
  <c r="G103" i="2"/>
  <c r="E103" i="2"/>
  <c r="J102" i="2"/>
  <c r="K102" i="2" s="1"/>
  <c r="G102" i="2"/>
  <c r="E102" i="2"/>
  <c r="K101" i="2"/>
  <c r="J101" i="2"/>
  <c r="G101" i="2"/>
  <c r="L101" i="2" s="1"/>
  <c r="E101" i="2"/>
  <c r="K100" i="2"/>
  <c r="L100" i="2" s="1"/>
  <c r="J100" i="2"/>
  <c r="G100" i="2"/>
  <c r="E100" i="2"/>
  <c r="K99" i="2"/>
  <c r="L99" i="2" s="1"/>
  <c r="J99" i="2"/>
  <c r="G99" i="2"/>
  <c r="E99" i="2"/>
  <c r="J98" i="2"/>
  <c r="K98" i="2" s="1"/>
  <c r="G98" i="2"/>
  <c r="E98" i="2"/>
  <c r="K97" i="2"/>
  <c r="L97" i="2" s="1"/>
  <c r="J97" i="2"/>
  <c r="G97" i="2"/>
  <c r="E97" i="2"/>
  <c r="J96" i="2"/>
  <c r="K96" i="2" s="1"/>
  <c r="L96" i="2" s="1"/>
  <c r="G96" i="2"/>
  <c r="E96" i="2"/>
  <c r="K95" i="2"/>
  <c r="J95" i="2"/>
  <c r="G95" i="2"/>
  <c r="L95" i="2" s="1"/>
  <c r="E95" i="2"/>
  <c r="J94" i="2"/>
  <c r="K94" i="2" s="1"/>
  <c r="L94" i="2" s="1"/>
  <c r="G94" i="2"/>
  <c r="E94" i="2"/>
  <c r="J93" i="2"/>
  <c r="K93" i="2" s="1"/>
  <c r="G93" i="2"/>
  <c r="E93" i="2"/>
  <c r="K92" i="2"/>
  <c r="L92" i="2" s="1"/>
  <c r="J92" i="2"/>
  <c r="G92" i="2"/>
  <c r="E92" i="2"/>
  <c r="J91" i="2"/>
  <c r="K91" i="2" s="1"/>
  <c r="L91" i="2" s="1"/>
  <c r="G91" i="2"/>
  <c r="E91" i="2"/>
  <c r="J90" i="2"/>
  <c r="K90" i="2" s="1"/>
  <c r="G90" i="2"/>
  <c r="L90" i="2" s="1"/>
  <c r="E90" i="2"/>
  <c r="J89" i="2"/>
  <c r="K89" i="2" s="1"/>
  <c r="L89" i="2" s="1"/>
  <c r="G89" i="2"/>
  <c r="E89" i="2"/>
  <c r="J88" i="2"/>
  <c r="K88" i="2" s="1"/>
  <c r="G88" i="2"/>
  <c r="E88" i="2"/>
  <c r="L87" i="2"/>
  <c r="K87" i="2"/>
  <c r="J87" i="2"/>
  <c r="G87" i="2"/>
  <c r="E87" i="2"/>
  <c r="K86" i="2"/>
  <c r="J86" i="2"/>
  <c r="G86" i="2"/>
  <c r="L86" i="2" s="1"/>
  <c r="E86" i="2"/>
  <c r="K85" i="2"/>
  <c r="J85" i="2"/>
  <c r="G85" i="2"/>
  <c r="E85" i="2"/>
  <c r="L84" i="2"/>
  <c r="K84" i="2"/>
  <c r="J84" i="2"/>
  <c r="G84" i="2"/>
  <c r="E84" i="2"/>
  <c r="J83" i="2"/>
  <c r="K83" i="2" s="1"/>
  <c r="G83" i="2"/>
  <c r="E83" i="2"/>
  <c r="J82" i="2"/>
  <c r="K82" i="2" s="1"/>
  <c r="G82" i="2"/>
  <c r="E82" i="2"/>
  <c r="J81" i="2"/>
  <c r="K81" i="2" s="1"/>
  <c r="L81" i="2" s="1"/>
  <c r="G81" i="2"/>
  <c r="E81" i="2"/>
  <c r="J80" i="2"/>
  <c r="K80" i="2" s="1"/>
  <c r="L80" i="2" s="1"/>
  <c r="G80" i="2"/>
  <c r="E80" i="2"/>
  <c r="K79" i="2"/>
  <c r="J79" i="2"/>
  <c r="G79" i="2"/>
  <c r="L79" i="2" s="1"/>
  <c r="E79" i="2"/>
  <c r="L78" i="2"/>
  <c r="J78" i="2"/>
  <c r="K78" i="2" s="1"/>
  <c r="G78" i="2"/>
  <c r="E78" i="2"/>
  <c r="J77" i="2"/>
  <c r="K77" i="2" s="1"/>
  <c r="G77" i="2"/>
  <c r="E77" i="2"/>
  <c r="K76" i="2"/>
  <c r="L76" i="2" s="1"/>
  <c r="J76" i="2"/>
  <c r="G76" i="2"/>
  <c r="E76" i="2"/>
  <c r="J75" i="2"/>
  <c r="K75" i="2" s="1"/>
  <c r="L75" i="2" s="1"/>
  <c r="G75" i="2"/>
  <c r="E75" i="2"/>
  <c r="J74" i="2"/>
  <c r="K74" i="2" s="1"/>
  <c r="G74" i="2"/>
  <c r="L74" i="2" s="1"/>
  <c r="E74" i="2"/>
  <c r="J73" i="2"/>
  <c r="K73" i="2" s="1"/>
  <c r="L73" i="2" s="1"/>
  <c r="G73" i="2"/>
  <c r="E73" i="2"/>
  <c r="K72" i="2"/>
  <c r="J72" i="2"/>
  <c r="G72" i="2"/>
  <c r="L72" i="2" s="1"/>
  <c r="E72" i="2"/>
  <c r="L71" i="2"/>
  <c r="K71" i="2"/>
  <c r="J71" i="2"/>
  <c r="G71" i="2"/>
  <c r="E71" i="2"/>
  <c r="K70" i="2"/>
  <c r="J70" i="2"/>
  <c r="G70" i="2"/>
  <c r="L70" i="2" s="1"/>
  <c r="E70" i="2"/>
  <c r="J69" i="2"/>
  <c r="K69" i="2" s="1"/>
  <c r="G69" i="2"/>
  <c r="E69" i="2"/>
  <c r="L68" i="2"/>
  <c r="K68" i="2"/>
  <c r="J68" i="2"/>
  <c r="G68" i="2"/>
  <c r="E68" i="2"/>
  <c r="K67" i="2"/>
  <c r="J67" i="2"/>
  <c r="G67" i="2"/>
  <c r="L67" i="2" s="1"/>
  <c r="E67" i="2"/>
  <c r="J66" i="2"/>
  <c r="K66" i="2" s="1"/>
  <c r="G66" i="2"/>
  <c r="E66" i="2"/>
  <c r="K65" i="2"/>
  <c r="L65" i="2" s="1"/>
  <c r="J65" i="2"/>
  <c r="G65" i="2"/>
  <c r="E65" i="2"/>
  <c r="J64" i="2"/>
  <c r="K64" i="2" s="1"/>
  <c r="L64" i="2" s="1"/>
  <c r="G64" i="2"/>
  <c r="E64" i="2"/>
  <c r="K63" i="2"/>
  <c r="J63" i="2"/>
  <c r="G63" i="2"/>
  <c r="L63" i="2" s="1"/>
  <c r="E63" i="2"/>
  <c r="J62" i="2"/>
  <c r="K62" i="2" s="1"/>
  <c r="G62" i="2"/>
  <c r="L62" i="2" s="1"/>
  <c r="E62" i="2"/>
  <c r="J61" i="2"/>
  <c r="K61" i="2" s="1"/>
  <c r="G61" i="2"/>
  <c r="E61" i="2"/>
  <c r="K60" i="2"/>
  <c r="L60" i="2" s="1"/>
  <c r="J60" i="2"/>
  <c r="G60" i="2"/>
  <c r="E60" i="2"/>
  <c r="J59" i="2"/>
  <c r="K59" i="2" s="1"/>
  <c r="L59" i="2" s="1"/>
  <c r="G59" i="2"/>
  <c r="E59" i="2"/>
  <c r="J58" i="2"/>
  <c r="K58" i="2" s="1"/>
  <c r="G58" i="2"/>
  <c r="L58" i="2" s="1"/>
  <c r="E58" i="2"/>
  <c r="J57" i="2"/>
  <c r="K57" i="2" s="1"/>
  <c r="L57" i="2" s="1"/>
  <c r="G57" i="2"/>
  <c r="E57" i="2"/>
  <c r="K56" i="2"/>
  <c r="J56" i="2"/>
  <c r="G56" i="2"/>
  <c r="L56" i="2" s="1"/>
  <c r="E56" i="2"/>
  <c r="K55" i="2"/>
  <c r="J55" i="2"/>
  <c r="G55" i="2"/>
  <c r="L55" i="2" s="1"/>
  <c r="E55" i="2"/>
  <c r="K54" i="2"/>
  <c r="L54" i="2" s="1"/>
  <c r="J54" i="2"/>
  <c r="G54" i="2"/>
  <c r="E54" i="2"/>
  <c r="K53" i="2"/>
  <c r="J53" i="2"/>
  <c r="G53" i="2"/>
  <c r="E53" i="2"/>
  <c r="L52" i="2"/>
  <c r="K52" i="2"/>
  <c r="J52" i="2"/>
  <c r="G52" i="2"/>
  <c r="E52" i="2"/>
  <c r="K51" i="2"/>
  <c r="J51" i="2"/>
  <c r="G51" i="2"/>
  <c r="L51" i="2" s="1"/>
  <c r="E51" i="2"/>
  <c r="J50" i="2"/>
  <c r="K50" i="2" s="1"/>
  <c r="G50" i="2"/>
  <c r="L50" i="2" s="1"/>
  <c r="E50" i="2"/>
  <c r="K49" i="2"/>
  <c r="L49" i="2" s="1"/>
  <c r="J49" i="2"/>
  <c r="G49" i="2"/>
  <c r="E49" i="2"/>
  <c r="J48" i="2"/>
  <c r="K48" i="2" s="1"/>
  <c r="G48" i="2"/>
  <c r="E48" i="2"/>
  <c r="L47" i="2"/>
  <c r="K47" i="2"/>
  <c r="J47" i="2"/>
  <c r="G47" i="2"/>
  <c r="E47" i="2"/>
  <c r="L46" i="2"/>
  <c r="J46" i="2"/>
  <c r="K46" i="2" s="1"/>
  <c r="G46" i="2"/>
  <c r="E46" i="2"/>
  <c r="J45" i="2"/>
  <c r="K45" i="2" s="1"/>
  <c r="G45" i="2"/>
  <c r="E45" i="2"/>
  <c r="K44" i="2"/>
  <c r="L44" i="2" s="1"/>
  <c r="J44" i="2"/>
  <c r="G44" i="2"/>
  <c r="E44" i="2"/>
  <c r="J43" i="2"/>
  <c r="K43" i="2" s="1"/>
  <c r="G43" i="2"/>
  <c r="L43" i="2" s="1"/>
  <c r="E43" i="2"/>
  <c r="J42" i="2"/>
  <c r="K42" i="2" s="1"/>
  <c r="L42" i="2" s="1"/>
  <c r="G42" i="2"/>
  <c r="E42" i="2"/>
  <c r="K41" i="2"/>
  <c r="J41" i="2"/>
  <c r="G41" i="2"/>
  <c r="L41" i="2" s="1"/>
  <c r="E41" i="2"/>
  <c r="J40" i="2"/>
  <c r="K40" i="2" s="1"/>
  <c r="L40" i="2" s="1"/>
  <c r="G40" i="2"/>
  <c r="E40" i="2"/>
  <c r="K39" i="2"/>
  <c r="J39" i="2"/>
  <c r="G39" i="2"/>
  <c r="L39" i="2" s="1"/>
  <c r="E39" i="2"/>
  <c r="J38" i="2"/>
  <c r="K38" i="2" s="1"/>
  <c r="G38" i="2"/>
  <c r="L38" i="2" s="1"/>
  <c r="E38" i="2"/>
  <c r="J37" i="2"/>
  <c r="K37" i="2" s="1"/>
  <c r="G37" i="2"/>
  <c r="E37" i="2"/>
  <c r="K36" i="2"/>
  <c r="L36" i="2" s="1"/>
  <c r="J36" i="2"/>
  <c r="G36" i="2"/>
  <c r="E36" i="2"/>
  <c r="L35" i="2"/>
  <c r="J35" i="2"/>
  <c r="K35" i="2" s="1"/>
  <c r="G35" i="2"/>
  <c r="E35" i="2"/>
  <c r="J34" i="2"/>
  <c r="K34" i="2" s="1"/>
  <c r="G34" i="2"/>
  <c r="L34" i="2" s="1"/>
  <c r="E34" i="2"/>
  <c r="J33" i="2"/>
  <c r="K33" i="2" s="1"/>
  <c r="G33" i="2"/>
  <c r="L33" i="2" s="1"/>
  <c r="E33" i="2"/>
  <c r="J32" i="2"/>
  <c r="K32" i="2" s="1"/>
  <c r="L32" i="2" s="1"/>
  <c r="G32" i="2"/>
  <c r="E32" i="2"/>
  <c r="K31" i="2"/>
  <c r="L31" i="2" s="1"/>
  <c r="J31" i="2"/>
  <c r="G31" i="2"/>
  <c r="E31" i="2"/>
  <c r="J30" i="2"/>
  <c r="K30" i="2" s="1"/>
  <c r="G30" i="2"/>
  <c r="L30" i="2" s="1"/>
  <c r="E30" i="2"/>
  <c r="J29" i="2"/>
  <c r="K29" i="2" s="1"/>
  <c r="G29" i="2"/>
  <c r="L29" i="2" s="1"/>
  <c r="E29" i="2"/>
  <c r="J28" i="2"/>
  <c r="K28" i="2" s="1"/>
  <c r="L28" i="2" s="1"/>
  <c r="G28" i="2"/>
  <c r="E28" i="2"/>
  <c r="J27" i="2"/>
  <c r="K27" i="2" s="1"/>
  <c r="L27" i="2" s="1"/>
  <c r="G27" i="2"/>
  <c r="E27" i="2"/>
  <c r="J26" i="2"/>
  <c r="K26" i="2" s="1"/>
  <c r="L26" i="2" s="1"/>
  <c r="G26" i="2"/>
  <c r="E26" i="2"/>
  <c r="K25" i="2"/>
  <c r="L25" i="2" s="1"/>
  <c r="J25" i="2"/>
  <c r="G25" i="2"/>
  <c r="E25" i="2"/>
  <c r="J24" i="2"/>
  <c r="K24" i="2" s="1"/>
  <c r="G24" i="2"/>
  <c r="L24" i="2" s="1"/>
  <c r="E24" i="2"/>
  <c r="K23" i="2"/>
  <c r="J23" i="2"/>
  <c r="G23" i="2"/>
  <c r="L23" i="2" s="1"/>
  <c r="E23" i="2"/>
  <c r="J22" i="2"/>
  <c r="K22" i="2" s="1"/>
  <c r="L22" i="2" s="1"/>
  <c r="G22" i="2"/>
  <c r="E22" i="2"/>
  <c r="K21" i="2"/>
  <c r="J21" i="2"/>
  <c r="G21" i="2"/>
  <c r="E21" i="2"/>
  <c r="K20" i="2"/>
  <c r="L20" i="2" s="1"/>
  <c r="J20" i="2"/>
  <c r="G20" i="2"/>
  <c r="E20" i="2"/>
  <c r="L19" i="2"/>
  <c r="J19" i="2"/>
  <c r="K19" i="2" s="1"/>
  <c r="G19" i="2"/>
  <c r="E19" i="2"/>
  <c r="J18" i="2"/>
  <c r="K18" i="2" s="1"/>
  <c r="G18" i="2"/>
  <c r="L18" i="2" s="1"/>
  <c r="E18" i="2"/>
  <c r="K17" i="2"/>
  <c r="J17" i="2"/>
  <c r="G17" i="2"/>
  <c r="E17" i="2"/>
  <c r="J16" i="2"/>
  <c r="K16" i="2" s="1"/>
  <c r="G16" i="2"/>
  <c r="E16" i="2"/>
  <c r="L15" i="2"/>
  <c r="K15" i="2"/>
  <c r="J15" i="2"/>
  <c r="G15" i="2"/>
  <c r="E15" i="2"/>
  <c r="J14" i="2"/>
  <c r="K14" i="2" s="1"/>
  <c r="G14" i="2"/>
  <c r="L14" i="2" s="1"/>
  <c r="E14" i="2"/>
  <c r="J13" i="2"/>
  <c r="K13" i="2" s="1"/>
  <c r="G13" i="2"/>
  <c r="E13" i="2"/>
  <c r="J12" i="2"/>
  <c r="G12" i="2"/>
  <c r="E12" i="2"/>
  <c r="K11" i="2"/>
  <c r="J11" i="2"/>
  <c r="G11" i="2"/>
  <c r="E11" i="2"/>
  <c r="J10" i="2"/>
  <c r="K10" i="2" s="1"/>
  <c r="L10" i="2" s="1"/>
  <c r="G10" i="2"/>
  <c r="E10" i="2"/>
  <c r="L9" i="2"/>
  <c r="K9" i="2"/>
  <c r="J9" i="2"/>
  <c r="G9" i="2"/>
  <c r="E9" i="2"/>
  <c r="J8" i="2"/>
  <c r="K8" i="2" s="1"/>
  <c r="G8" i="2"/>
  <c r="L8" i="2" s="1"/>
  <c r="E8" i="2"/>
  <c r="L7" i="2"/>
  <c r="K7" i="2"/>
  <c r="J7" i="2"/>
  <c r="G7" i="2"/>
  <c r="E7" i="2"/>
  <c r="J6" i="2"/>
  <c r="K6" i="2" s="1"/>
  <c r="G6" i="2"/>
  <c r="E6" i="2"/>
  <c r="J5" i="2"/>
  <c r="G5" i="2"/>
  <c r="E5" i="2"/>
  <c r="J4" i="2"/>
  <c r="K4" i="2" s="1"/>
  <c r="L4" i="2" s="1"/>
  <c r="G4" i="2"/>
  <c r="E4" i="2"/>
  <c r="E3" i="2"/>
  <c r="L16" i="2" l="1"/>
  <c r="L176" i="2"/>
  <c r="L187" i="2"/>
  <c r="K12" i="2"/>
  <c r="L88" i="2"/>
  <c r="L102" i="2"/>
  <c r="L251" i="2"/>
  <c r="L262" i="2"/>
  <c r="L6" i="2"/>
  <c r="B24" i="3"/>
  <c r="K5" i="2"/>
  <c r="C24" i="3" s="1"/>
  <c r="L11" i="2"/>
  <c r="L13" i="2"/>
  <c r="L17" i="2"/>
  <c r="L48" i="2"/>
  <c r="L107" i="2"/>
  <c r="L152" i="2"/>
  <c r="L166" i="2"/>
  <c r="L83" i="2"/>
  <c r="L222" i="2"/>
  <c r="L326" i="2"/>
  <c r="L77" i="2"/>
  <c r="L82" i="2"/>
  <c r="L141" i="2"/>
  <c r="L146" i="2"/>
  <c r="L210" i="2"/>
  <c r="L221" i="2"/>
  <c r="L232" i="2"/>
  <c r="L274" i="2"/>
  <c r="L285" i="2"/>
  <c r="L296" i="2"/>
  <c r="L333" i="2"/>
  <c r="L339" i="2"/>
  <c r="L360" i="2"/>
  <c r="L362" i="2"/>
  <c r="L397" i="2"/>
  <c r="L405" i="2"/>
  <c r="L424" i="2"/>
  <c r="L456" i="2"/>
  <c r="L501" i="2"/>
  <c r="L53" i="2"/>
  <c r="L117" i="2"/>
  <c r="L21" i="2"/>
  <c r="L93" i="2"/>
  <c r="L98" i="2"/>
  <c r="L157" i="2"/>
  <c r="L162" i="2"/>
  <c r="L194" i="2"/>
  <c r="L205" i="2"/>
  <c r="L216" i="2"/>
  <c r="L258" i="2"/>
  <c r="L269" i="2"/>
  <c r="L280" i="2"/>
  <c r="L322" i="2"/>
  <c r="L349" i="2"/>
  <c r="L355" i="2"/>
  <c r="L376" i="2"/>
  <c r="L378" i="2"/>
  <c r="L416" i="2"/>
  <c r="L448" i="2"/>
  <c r="L480" i="2"/>
  <c r="L506" i="2"/>
  <c r="L69" i="2"/>
  <c r="L133" i="2"/>
  <c r="L240" i="2"/>
  <c r="L304" i="2"/>
  <c r="L363" i="2"/>
  <c r="L45" i="2"/>
  <c r="L109" i="2"/>
  <c r="L173" i="2"/>
  <c r="L200" i="2"/>
  <c r="L264" i="2"/>
  <c r="L371" i="2"/>
  <c r="L402" i="2"/>
  <c r="L408" i="2"/>
  <c r="B23" i="3"/>
  <c r="L85" i="2"/>
  <c r="L149" i="2"/>
  <c r="L224" i="2"/>
  <c r="L288" i="2"/>
  <c r="L379" i="2"/>
  <c r="C23" i="3"/>
  <c r="L5" i="2"/>
  <c r="L37" i="2"/>
  <c r="L61" i="2"/>
  <c r="L66" i="2"/>
  <c r="L125" i="2"/>
  <c r="L130" i="2"/>
  <c r="L184" i="2"/>
  <c r="L226" i="2"/>
  <c r="L237" i="2"/>
  <c r="L248" i="2"/>
  <c r="L290" i="2"/>
  <c r="L301" i="2"/>
  <c r="L312" i="2"/>
  <c r="L344" i="2"/>
  <c r="L346" i="2"/>
  <c r="L381" i="2"/>
  <c r="L387" i="2"/>
  <c r="L432" i="2"/>
  <c r="L464" i="2"/>
  <c r="L496" i="2"/>
  <c r="C22" i="3" l="1"/>
  <c r="L12" i="2"/>
  <c r="L3" i="2"/>
</calcChain>
</file>

<file path=xl/sharedStrings.xml><?xml version="1.0" encoding="utf-8"?>
<sst xmlns="http://schemas.openxmlformats.org/spreadsheetml/2006/main" count="1099" uniqueCount="73">
  <si>
    <t>Produksi Pakan Tiap Provinsi di Indonesia</t>
  </si>
  <si>
    <t>Produk</t>
  </si>
  <si>
    <t>Provinsi</t>
  </si>
  <si>
    <t>Total Produksi (ton)</t>
  </si>
  <si>
    <t xml:space="preserve">Tahun </t>
  </si>
  <si>
    <t>Tabel Bantu</t>
  </si>
  <si>
    <t>Harga produk per kg</t>
  </si>
  <si>
    <t>Total Harga Produk</t>
  </si>
  <si>
    <t>Banyaknya pakan per ton produk (kg)</t>
  </si>
  <si>
    <t>Harga pakan per kg</t>
  </si>
  <si>
    <t>Total Banyak Pakan</t>
  </si>
  <si>
    <t>Total Harga Pakan</t>
  </si>
  <si>
    <t>Laba kotor</t>
  </si>
  <si>
    <t>Daging Itik</t>
  </si>
  <si>
    <t>JAWA TIMUR</t>
  </si>
  <si>
    <t>Daging Ayam</t>
  </si>
  <si>
    <t>GORONTALO</t>
  </si>
  <si>
    <t>Daging Kambing</t>
  </si>
  <si>
    <t>BENGKULU</t>
  </si>
  <si>
    <t>SULAWESI SELATAN</t>
  </si>
  <si>
    <t>Daging Sapi</t>
  </si>
  <si>
    <t>JAWA TENGAH</t>
  </si>
  <si>
    <t>PAPUA BARAT</t>
  </si>
  <si>
    <t>JAWA BARAT</t>
  </si>
  <si>
    <t>Daging Domba</t>
  </si>
  <si>
    <t>SULAWESI TENGGARA</t>
  </si>
  <si>
    <t>SUMATERA UTARA</t>
  </si>
  <si>
    <t>KEP. BANGKA BELITUNG</t>
  </si>
  <si>
    <t>MALUKU UTARA</t>
  </si>
  <si>
    <t>DI YOGYAKARTA</t>
  </si>
  <si>
    <t>DKI JAKARTA</t>
  </si>
  <si>
    <t>JAMBI</t>
  </si>
  <si>
    <t>KEP. RIAU</t>
  </si>
  <si>
    <t>KALIMANTAN UTARA</t>
  </si>
  <si>
    <t>SUMATERA BARAT</t>
  </si>
  <si>
    <t>MALUKU</t>
  </si>
  <si>
    <t>BANTEN</t>
  </si>
  <si>
    <t>PAPUA</t>
  </si>
  <si>
    <t>KALIMANTAN TENGAH</t>
  </si>
  <si>
    <t>BALI</t>
  </si>
  <si>
    <t>NUSA TENGGARA TIMUR</t>
  </si>
  <si>
    <t>RIAU</t>
  </si>
  <si>
    <t>NUSA TENGGARA BARAT</t>
  </si>
  <si>
    <t>SUMATERA SELATAN</t>
  </si>
  <si>
    <t>SULAWESI UTARA</t>
  </si>
  <si>
    <t>SULAWESI BARAT</t>
  </si>
  <si>
    <t>KALIMANTAN BARAT</t>
  </si>
  <si>
    <t>SULAWESI TENGAH</t>
  </si>
  <si>
    <t>KALIMANTAN SELATAN</t>
  </si>
  <si>
    <t>ACEH</t>
  </si>
  <si>
    <t>LAMPUNG</t>
  </si>
  <si>
    <t>KALIMANTAN TIMUR</t>
  </si>
  <si>
    <t>Mencari total produksi berdasarkan produk</t>
  </si>
  <si>
    <t>Sub Total</t>
  </si>
  <si>
    <t>Mencari total produksi Daging Sapi setiap tahun</t>
  </si>
  <si>
    <t>Tahun</t>
  </si>
  <si>
    <t>Mencari total produksi Daging Ayam di Papua tahun 2022</t>
  </si>
  <si>
    <t>Total produksi</t>
  </si>
  <si>
    <t>Papua</t>
  </si>
  <si>
    <t>Papua Barat</t>
  </si>
  <si>
    <t xml:space="preserve">Mencari Total Pengeluaran Pakan Ternak </t>
  </si>
  <si>
    <t>Banyak pakan</t>
  </si>
  <si>
    <t>Total Pengeluaran</t>
  </si>
  <si>
    <t>Mencari total produksi berdasarkan Daging Sapi di Pulau Jawa berdasarkan tahun</t>
  </si>
  <si>
    <t>Sub Total (Provinsi)</t>
  </si>
  <si>
    <t>Banten</t>
  </si>
  <si>
    <t>DKI Jakarta</t>
  </si>
  <si>
    <t>Jawa Barat</t>
  </si>
  <si>
    <t>Jawa Tengah</t>
  </si>
  <si>
    <t>DI Yogyakarta</t>
  </si>
  <si>
    <t>Jawa Timur</t>
  </si>
  <si>
    <t>Produksi daging sapi per provinsi tahun 2022</t>
  </si>
  <si>
    <t>Jumlah 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</si>
</sst>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(* #,##0_);_(* \(#,##0\);_(* &quot;-&quot;??_);_(@_)"/>
    <numFmt numFmtId="165" formatCode="_(&quot;Rp&quot;* #,##0_);_(&quot;Rp&quot;* \(#,##0\);_(&quot;Rp&quot;* &quot;-&quot;_);_(@_)"/>
  </numFmts>
  <fonts count="5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4" xfId="0" applyFont="1" applyBorder="1"/>
    <xf numFmtId="164" fontId="2" fillId="0" borderId="4" xfId="0" applyNumberFormat="1" applyFont="1" applyBorder="1"/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2" fillId="0" borderId="0" xfId="0" applyFont="1"/>
    <xf numFmtId="0" fontId="1" fillId="0" borderId="4" xfId="0" applyFont="1" applyBorder="1" applyAlignment="1">
      <alignment horizontal="center"/>
    </xf>
    <xf numFmtId="41" fontId="2" fillId="0" borderId="4" xfId="0" applyNumberFormat="1" applyFont="1" applyBorder="1" applyAlignment="1">
      <alignment horizontal="right"/>
    </xf>
    <xf numFmtId="0" fontId="1" fillId="0" borderId="4" xfId="0" applyFont="1" applyBorder="1"/>
    <xf numFmtId="0" fontId="2" fillId="0" borderId="4" xfId="0" applyFont="1" applyBorder="1" applyAlignment="1">
      <alignment horizontal="right"/>
    </xf>
    <xf numFmtId="165" fontId="2" fillId="0" borderId="4" xfId="0" applyNumberFormat="1" applyFont="1" applyBorder="1" applyAlignment="1">
      <alignment horizontal="right"/>
    </xf>
    <xf numFmtId="41" fontId="2" fillId="0" borderId="0" xfId="0" applyNumberFormat="1" applyFont="1"/>
    <xf numFmtId="0" fontId="1" fillId="0" borderId="6" xfId="0" applyFont="1" applyBorder="1" applyAlignment="1">
      <alignment horizontal="center"/>
    </xf>
    <xf numFmtId="0" fontId="3" fillId="0" borderId="5" xfId="0" applyFont="1" applyBorder="1"/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Produk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Visualization'!$B$2</c:f>
              <c:strCache>
                <c:ptCount val="1"/>
                <c:pt idx="0">
                  <c:v>Sub Total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Visualization'!$A$3:$A$7</c:f>
              <c:strCache>
                <c:ptCount val="5"/>
                <c:pt idx="0">
                  <c:v>Daging Ayam</c:v>
                </c:pt>
                <c:pt idx="1">
                  <c:v>Daging Domba</c:v>
                </c:pt>
                <c:pt idx="2">
                  <c:v>Daging Itik</c:v>
                </c:pt>
                <c:pt idx="3">
                  <c:v>Daging Kambing</c:v>
                </c:pt>
                <c:pt idx="4">
                  <c:v>Daging Sapi</c:v>
                </c:pt>
              </c:strCache>
            </c:strRef>
          </c:cat>
          <c:val>
            <c:numRef>
              <c:f>'Data Visualization'!$B$3:$B$7</c:f>
              <c:numCache>
                <c:formatCode>_(* #,##0_);_(* \(#,##0\);_(* "-"_);_(@_)</c:formatCode>
                <c:ptCount val="5"/>
                <c:pt idx="0">
                  <c:v>15863907.080000006</c:v>
                </c:pt>
                <c:pt idx="1">
                  <c:v>159541.05000000002</c:v>
                </c:pt>
                <c:pt idx="2">
                  <c:v>1048954.7899999998</c:v>
                </c:pt>
                <c:pt idx="3">
                  <c:v>185099.77999999997</c:v>
                </c:pt>
                <c:pt idx="4">
                  <c:v>1440143.8200000003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7-4527-80D2-837F2369C8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395300192"/>
        <c:axId val="291908528"/>
      </c:barChart>
      <c:catAx>
        <c:axId val="395300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908528"/>
        <c:crosses val="autoZero"/>
        <c:auto val="1"/>
        <c:lblAlgn val="ctr"/>
        <c:lblOffset val="100"/>
        <c:noMultiLvlLbl val="0"/>
      </c:catAx>
      <c:valAx>
        <c:axId val="291908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0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Produksi Daging Sapi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'Data Visualization'!$B$10</c:f>
              <c:strCache>
                <c:ptCount val="1"/>
                <c:pt idx="0">
                  <c:v>Sub 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3D-4502-BD1C-CE525348047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3D-4502-BD1C-CE525348047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3D-4502-BD1C-CE52534804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'Data Visualization'!$A$11:$A$13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'Data Visualization'!$B$11:$B$13</c:f>
              <c:numCache>
                <c:formatCode>_(* #,##0_);_(* \(#,##0\);_(* "-"_);_(@_)</c:formatCode>
                <c:ptCount val="3"/>
                <c:pt idx="0">
                  <c:v>453418.45</c:v>
                </c:pt>
                <c:pt idx="1">
                  <c:v>487802.20000000007</c:v>
                </c:pt>
                <c:pt idx="2">
                  <c:v>498923.17000000004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7-4342-AF83-87678416CF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Pengeluaran Pakan Ternak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Banyak Pakan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'Data Visualization'!$A$22:$A$24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'Data Visualization'!$B$22:$B$24</c:f>
              <c:numCache>
                <c:formatCode>_(* #,##0_);_(* \(#,##0\);_(* "-"_);_(@_)</c:formatCode>
                <c:ptCount val="3"/>
                <c:pt idx="0">
                  <c:v>159039919.75999999</c:v>
                </c:pt>
                <c:pt idx="1">
                  <c:v>139840993.02999994</c:v>
                </c:pt>
                <c:pt idx="2">
                  <c:v>145469717.30999997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9-4771-B2CE-5C25A3C8F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550943120"/>
        <c:axId val="550925840"/>
      </c:barChart>
      <c:scatterChart>
        <c:scatterStyle val="smoothMarker"/>
        <c:varyColors val="0"/>
        <c:ser>
          <c:idx val="1"/>
          <c:order val="1"/>
          <c:tx>
            <c:v>Total Pengeluaran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Visualization'!$A$22:$A$24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xVal>
          <c:yVal>
            <c:numRef>
              <c:f>'Data Visualization'!$C$22:$C$24</c:f>
              <c:numCache>
                <c:formatCode>_("Rp"* #,##0_);_("Rp"* \(#,##0\);_("Rp"* "-"_);_(@_)</c:formatCode>
                <c:ptCount val="3"/>
                <c:pt idx="0">
                  <c:v>1622924959340</c:v>
                </c:pt>
                <c:pt idx="1">
                  <c:v>1463497059500</c:v>
                </c:pt>
                <c:pt idx="2">
                  <c:v>1525703575478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D9-4771-B2CE-5C25A3C8F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736672"/>
        <c:axId val="550974320"/>
      </c:scatterChart>
      <c:valAx>
        <c:axId val="596736672"/>
        <c:scaling>
          <c:orientation val="minMax"/>
          <c:max val="2022"/>
          <c:min val="20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Tahun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974320"/>
        <c:crosses val="autoZero"/>
        <c:crossBetween val="midCat"/>
        <c:majorUnit val="1"/>
      </c:valAx>
      <c:valAx>
        <c:axId val="55097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Pengeluaran (Miliar)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p&quot;* #,##0_);_(&quot;Rp&quot;* \(#,##0\);_(&quot;Rp&quot;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36672"/>
        <c:crosses val="autoZero"/>
        <c:crossBetween val="midCat"/>
        <c:dispUnits>
          <c:builtInUnit val="billions"/>
        </c:dispUnits>
      </c:valAx>
      <c:valAx>
        <c:axId val="5509258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Banyak Pakan (Ton)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943120"/>
        <c:crosses val="max"/>
        <c:crossBetween val="between"/>
        <c:dispUnits>
          <c:builtInUnit val="thousands"/>
        </c:dispUnits>
      </c:valAx>
      <c:catAx>
        <c:axId val="550943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0925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Produksi Daging Sapi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Visualization'!$A$29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Visualization'!$B$27:$G$28</c15:sqref>
                  </c15:fullRef>
                  <c15:levelRef>
                    <c15:sqref>'Data Visualization'!$B$28:$G$28</c15:sqref>
                  </c15:levelRef>
                </c:ext>
              </c:extLst>
              <c:f>'Data Visualization'!$B$28:$G$28</c:f>
              <c:strCache>
                <c:ptCount val="6"/>
                <c:pt idx="0">
                  <c:v>Banten</c:v>
                </c:pt>
                <c:pt idx="1">
                  <c:v>DKI Jakarta</c:v>
                </c:pt>
                <c:pt idx="2">
                  <c:v>Jawa Barat</c:v>
                </c:pt>
                <c:pt idx="3">
                  <c:v>Jawa Tengah</c:v>
                </c:pt>
                <c:pt idx="4">
                  <c:v>DI Yogyakarta</c:v>
                </c:pt>
                <c:pt idx="5">
                  <c:v>Jawa Timur</c:v>
                </c:pt>
              </c:strCache>
            </c:strRef>
          </c:cat>
          <c:val>
            <c:numRef>
              <c:f>'Data Visualization'!$B$29:$G$29</c:f>
              <c:numCache>
                <c:formatCode>_(* #,##0_);_(* \(#,##0\);_(* "-"_);_(@_)</c:formatCode>
                <c:ptCount val="6"/>
                <c:pt idx="0">
                  <c:v>283640.80000000005</c:v>
                </c:pt>
                <c:pt idx="1">
                  <c:v>8156.18</c:v>
                </c:pt>
                <c:pt idx="2">
                  <c:v>780722.32</c:v>
                </c:pt>
                <c:pt idx="3">
                  <c:v>778285.37</c:v>
                </c:pt>
                <c:pt idx="4">
                  <c:v>122188.23</c:v>
                </c:pt>
                <c:pt idx="5">
                  <c:v>1784296.19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2-4609-9582-D689A30CC8C6}"/>
            </c:ext>
          </c:extLst>
        </c:ser>
        <c:ser>
          <c:idx val="1"/>
          <c:order val="1"/>
          <c:tx>
            <c:strRef>
              <c:f>'Data Visualization'!$A$30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Visualization'!$B$27:$G$28</c15:sqref>
                  </c15:fullRef>
                  <c15:levelRef>
                    <c15:sqref>'Data Visualization'!$B$28:$G$28</c15:sqref>
                  </c15:levelRef>
                </c:ext>
              </c:extLst>
              <c:f>'Data Visualization'!$B$28:$G$28</c:f>
              <c:strCache>
                <c:ptCount val="6"/>
                <c:pt idx="0">
                  <c:v>Banten</c:v>
                </c:pt>
                <c:pt idx="1">
                  <c:v>DKI Jakarta</c:v>
                </c:pt>
                <c:pt idx="2">
                  <c:v>Jawa Barat</c:v>
                </c:pt>
                <c:pt idx="3">
                  <c:v>Jawa Tengah</c:v>
                </c:pt>
                <c:pt idx="4">
                  <c:v>DI Yogyakarta</c:v>
                </c:pt>
                <c:pt idx="5">
                  <c:v>Jawa Timur</c:v>
                </c:pt>
              </c:strCache>
            </c:strRef>
          </c:cat>
          <c:val>
            <c:numRef>
              <c:f>'Data Visualization'!$B$30:$G$30</c:f>
              <c:numCache>
                <c:formatCode>_(* #,##0_);_(* \(#,##0\);_(* "-"_);_(@_)</c:formatCode>
                <c:ptCount val="6"/>
                <c:pt idx="0">
                  <c:v>268691.66000000003</c:v>
                </c:pt>
                <c:pt idx="1">
                  <c:v>17285.419999999998</c:v>
                </c:pt>
                <c:pt idx="2">
                  <c:v>842494.06</c:v>
                </c:pt>
                <c:pt idx="3">
                  <c:v>852197.62</c:v>
                </c:pt>
                <c:pt idx="4">
                  <c:v>144368.85</c:v>
                </c:pt>
                <c:pt idx="5">
                  <c:v>1657427.7800000003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E2-4609-9582-D689A30CC8C6}"/>
            </c:ext>
          </c:extLst>
        </c:ser>
        <c:ser>
          <c:idx val="2"/>
          <c:order val="2"/>
          <c:tx>
            <c:strRef>
              <c:f>'Data Visualization'!$A$31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Visualization'!$B$27:$G$28</c15:sqref>
                  </c15:fullRef>
                  <c15:levelRef>
                    <c15:sqref>'Data Visualization'!$B$28:$G$28</c15:sqref>
                  </c15:levelRef>
                </c:ext>
              </c:extLst>
              <c:f>'Data Visualization'!$B$28:$G$28</c:f>
              <c:strCache>
                <c:ptCount val="6"/>
                <c:pt idx="0">
                  <c:v>Banten</c:v>
                </c:pt>
                <c:pt idx="1">
                  <c:v>DKI Jakarta</c:v>
                </c:pt>
                <c:pt idx="2">
                  <c:v>Jawa Barat</c:v>
                </c:pt>
                <c:pt idx="3">
                  <c:v>Jawa Tengah</c:v>
                </c:pt>
                <c:pt idx="4">
                  <c:v>DI Yogyakarta</c:v>
                </c:pt>
                <c:pt idx="5">
                  <c:v>Jawa Timur</c:v>
                </c:pt>
              </c:strCache>
            </c:strRef>
          </c:cat>
          <c:val>
            <c:numRef>
              <c:f>'Data Visualization'!$B$31:$G$31</c:f>
              <c:numCache>
                <c:formatCode>_(* #,##0_);_(* \(#,##0\);_(* "-"_);_(@_)</c:formatCode>
                <c:ptCount val="6"/>
                <c:pt idx="0">
                  <c:v>352269.55</c:v>
                </c:pt>
                <c:pt idx="1">
                  <c:v>18610.070000000003</c:v>
                </c:pt>
                <c:pt idx="2">
                  <c:v>892191.80999999994</c:v>
                </c:pt>
                <c:pt idx="3">
                  <c:v>944922.6399999999</c:v>
                </c:pt>
                <c:pt idx="4">
                  <c:v>182982.44</c:v>
                </c:pt>
                <c:pt idx="5">
                  <c:v>1500053.93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E2-4609-9582-D689A30CC8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95543984"/>
        <c:axId val="550949360"/>
      </c:barChart>
      <c:catAx>
        <c:axId val="59554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949360"/>
        <c:crosses val="autoZero"/>
        <c:auto val="1"/>
        <c:lblAlgn val="ctr"/>
        <c:lblOffset val="100"/>
        <c:noMultiLvlLbl val="0"/>
      </c:catAx>
      <c:valAx>
        <c:axId val="55094936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Produksi (Ton)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crossAx val="59554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Produksi Per Provinsi Tahun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Visualization'!$B$35</c:f>
              <c:strCache>
                <c:ptCount val="1"/>
                <c:pt idx="0">
                  <c:v>Jumlah produksi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Visualization'!$A$36:$A$69</c:f>
              <c:strCache>
                <c:ptCount val="34"/>
                <c:pt idx="0">
                  <c:v>JAWA TIMUR</c:v>
                </c:pt>
                <c:pt idx="1">
                  <c:v>GORONTALO</c:v>
                </c:pt>
                <c:pt idx="2">
                  <c:v>BENGKULU</c:v>
                </c:pt>
                <c:pt idx="3">
                  <c:v>SULAWESI SELATAN</c:v>
                </c:pt>
                <c:pt idx="4">
                  <c:v>JAWA TENGAH</c:v>
                </c:pt>
                <c:pt idx="5">
                  <c:v>PAPUA BARAT</c:v>
                </c:pt>
                <c:pt idx="6">
                  <c:v>JAWA BARAT</c:v>
                </c:pt>
                <c:pt idx="7">
                  <c:v>SULAWESI TENGGARA</c:v>
                </c:pt>
                <c:pt idx="8">
                  <c:v>SUMATERA UTARA</c:v>
                </c:pt>
                <c:pt idx="9">
                  <c:v>KEP. BANGKA BELITUNG</c:v>
                </c:pt>
                <c:pt idx="10">
                  <c:v>MALUKU UTARA</c:v>
                </c:pt>
                <c:pt idx="11">
                  <c:v>DI YOGYAKARTA</c:v>
                </c:pt>
                <c:pt idx="12">
                  <c:v>DKI JAKARTA</c:v>
                </c:pt>
                <c:pt idx="13">
                  <c:v>JAMBI</c:v>
                </c:pt>
                <c:pt idx="14">
                  <c:v>KEP. RIAU</c:v>
                </c:pt>
                <c:pt idx="15">
                  <c:v>KALIMANTAN UTARA</c:v>
                </c:pt>
                <c:pt idx="16">
                  <c:v>SUMATERA BARAT</c:v>
                </c:pt>
                <c:pt idx="17">
                  <c:v>MALUKU</c:v>
                </c:pt>
                <c:pt idx="18">
                  <c:v>BANTEN</c:v>
                </c:pt>
                <c:pt idx="19">
                  <c:v>PAPUA</c:v>
                </c:pt>
                <c:pt idx="20">
                  <c:v>KALIMANTAN TENGAH</c:v>
                </c:pt>
                <c:pt idx="21">
                  <c:v>BALI</c:v>
                </c:pt>
                <c:pt idx="22">
                  <c:v>NUSA TENGGARA TIMUR</c:v>
                </c:pt>
                <c:pt idx="23">
                  <c:v>RIAU</c:v>
                </c:pt>
                <c:pt idx="24">
                  <c:v>NUSA TENGGARA BARAT</c:v>
                </c:pt>
                <c:pt idx="25">
                  <c:v>SUMATERA SELATAN</c:v>
                </c:pt>
                <c:pt idx="26">
                  <c:v>SULAWESI UTARA</c:v>
                </c:pt>
                <c:pt idx="27">
                  <c:v>SULAWESI BARAT</c:v>
                </c:pt>
                <c:pt idx="28">
                  <c:v>KALIMANTAN BARAT</c:v>
                </c:pt>
                <c:pt idx="29">
                  <c:v>SULAWESI TENGAH</c:v>
                </c:pt>
                <c:pt idx="30">
                  <c:v>KALIMANTAN SELATAN</c:v>
                </c:pt>
                <c:pt idx="31">
                  <c:v>ACEH</c:v>
                </c:pt>
                <c:pt idx="32">
                  <c:v>LAMPUNG</c:v>
                </c:pt>
                <c:pt idx="33">
                  <c:v>KALIMANTAN TIMUR</c:v>
                </c:pt>
              </c:strCache>
            </c:strRef>
          </c:cat>
          <c:val>
            <c:numRef>
              <c:f>'Data Visualization'!$B$36:$B$69</c:f>
              <c:numCache>
                <c:formatCode>General</c:formatCode>
                <c:ptCount val="34"/>
                <c:pt idx="0">
                  <c:v>110991.18</c:v>
                </c:pt>
                <c:pt idx="1">
                  <c:v>2918.75</c:v>
                </c:pt>
                <c:pt idx="2">
                  <c:v>3329.27</c:v>
                </c:pt>
                <c:pt idx="3">
                  <c:v>16277.51</c:v>
                </c:pt>
                <c:pt idx="4">
                  <c:v>61393.95</c:v>
                </c:pt>
                <c:pt idx="5">
                  <c:v>1506.02</c:v>
                </c:pt>
                <c:pt idx="6">
                  <c:v>84960.62</c:v>
                </c:pt>
                <c:pt idx="7">
                  <c:v>4525.62</c:v>
                </c:pt>
                <c:pt idx="8">
                  <c:v>13859.09</c:v>
                </c:pt>
                <c:pt idx="9">
                  <c:v>3395.04</c:v>
                </c:pt>
                <c:pt idx="10">
                  <c:v>1320.51</c:v>
                </c:pt>
                <c:pt idx="11">
                  <c:v>7899.9</c:v>
                </c:pt>
                <c:pt idx="12">
                  <c:v>17617.61</c:v>
                </c:pt>
                <c:pt idx="13">
                  <c:v>5760.1</c:v>
                </c:pt>
                <c:pt idx="14">
                  <c:v>1390.39</c:v>
                </c:pt>
                <c:pt idx="15">
                  <c:v>895.57</c:v>
                </c:pt>
                <c:pt idx="16">
                  <c:v>21514.66</c:v>
                </c:pt>
                <c:pt idx="17">
                  <c:v>2308.12</c:v>
                </c:pt>
                <c:pt idx="18">
                  <c:v>17242.689999999999</c:v>
                </c:pt>
                <c:pt idx="19">
                  <c:v>2616.77</c:v>
                </c:pt>
                <c:pt idx="20">
                  <c:v>4113.87</c:v>
                </c:pt>
                <c:pt idx="21">
                  <c:v>4694.03</c:v>
                </c:pt>
                <c:pt idx="22">
                  <c:v>8680.44</c:v>
                </c:pt>
                <c:pt idx="23">
                  <c:v>9127.69</c:v>
                </c:pt>
                <c:pt idx="24">
                  <c:v>11159.01</c:v>
                </c:pt>
                <c:pt idx="25">
                  <c:v>15458.87</c:v>
                </c:pt>
                <c:pt idx="26">
                  <c:v>3169.39</c:v>
                </c:pt>
                <c:pt idx="27">
                  <c:v>1725.34</c:v>
                </c:pt>
                <c:pt idx="28">
                  <c:v>5095.8900000000003</c:v>
                </c:pt>
                <c:pt idx="29">
                  <c:v>5967.2</c:v>
                </c:pt>
                <c:pt idx="30">
                  <c:v>7351.35</c:v>
                </c:pt>
                <c:pt idx="31">
                  <c:v>12014.96</c:v>
                </c:pt>
                <c:pt idx="32">
                  <c:v>21176.2</c:v>
                </c:pt>
                <c:pt idx="33">
                  <c:v>7465.56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0-4134-8D31-DA9FAD501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5407168"/>
        <c:axId val="550929680"/>
      </c:barChart>
      <c:catAx>
        <c:axId val="54540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929680"/>
        <c:crosses val="autoZero"/>
        <c:auto val="1"/>
        <c:lblAlgn val="ctr"/>
        <c:lblOffset val="100"/>
        <c:noMultiLvlLbl val="0"/>
      </c:catAx>
      <c:valAx>
        <c:axId val="55092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Produksi (Ton)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0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Jumlah Produksi Per Provinsi Tahun 2022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t>Jumlah Produksi Per Provinsi Tahun 2022</a:t>
          </a:r>
        </a:p>
      </cx:txPr>
    </cx:title>
    <cx:plotArea>
      <cx:plotAreaRegion>
        <cx:series layoutId="regionMap" uniqueId="{86ED0A9B-F569-43E4-BA65-F6B90FC15282}">
          <cx:tx>
            <cx:txData>
              <cx:f>_xlchart.v5.2</cx:f>
              <cx:v>Jumlah produksi</cx:v>
            </cx:txData>
          </cx:tx>
          <cx:dataId val="0"/>
          <cx:layoutPr>
            <cx:geography cultureLanguage="en-US" cultureRegion="ID" attribution="Powered by Bing">
              <cx:geoCache provider="{E9337A44-BEBE-4D9F-B70C-5C5E7DAFC167}">
                <cx:binary>7H1pc9xGsu1fUfjzA12oBVU1Mb4RBHohxUUyKVojf0HQFI193/Hr7wEXuRvdZl/Kui8eIx49YQ8J
ohNVmZV58mQm+O+7/l938f1t+a5P4rT6113/y09+Xef/+vnn6s6/T26royS4K7Mq+7M+usuSn7M/
/wzu7n/+Wt52Qer9TInJf77zb8v6vv/pv/6NT/Pus/Ps7rYOsvTX5r4cru6rJq6rF67tvfTu9msS
pIugqsvgrjZ/+en65vz48/L69N2n5eV6fXx1/NO7+7QO6uHTkN//8tPWr//07uf5h+48wLsYz1g3
X3GvwY4E16aptSCPX+ZP7+Is9Z6um9Q8klRqy2K48Cj18jbBnddZU/v3t1X97rqJb7v7Kni+vu+p
Hp7p9uvX8r6qsL6H/+7/jK3V4FfWBmM/vbvLmrSedtTD5v7y02n6NUsh8vand0GVOY8XnWxa0eni
YQt+3tbHf/179gNsyuwnGyqb7+ChSzsa+3j88eb4nQ1VfXppV16pK3qkhGACCnv+2tYVY0dcMmUK
DX1OX8+yHzX2+R7K+nibN9i1v7ef/ZravHemoY+2wfmb09D748/H7z6dXtxcvbQZr1SQPLK0lExb
T2eJ0G0FmfQIh42bloZJbx6m5XSO3t+236GZjVtninl/alA8wBs7Oo+KgaM7Pnneo30O5dWaYYRR
btK/cXMmOSKEc1Ny7NimZhx8U97G36mc7bvn+vn0FvVzeXONg/MUiH64i1NHUmmqhCUePZhG1NkM
R6Y8MrllSlPIhzOGy5vaenBTl011++7Tfep5t+V3HKh9nzHT3KX9FoOSDaWd3ZzfPG/ZDzhW7Ehq
CnU9B5wp5Gyqi9AjalGmcOwe9fks+zEi2VBS1MTN80/3PdH+ePTXnTPV/HXhjfm99YerD5efjs8/
vLQZr/N65EiaCoeFyafDpOW2eijikRACJ07vO03rrMzS+jbOXnqk/frZuHWmoPWHt3h2jp3lDwxH
/IhZSnClrCfFbOtFyyNCBdWaPDo5MkMLx3f3/utV8njXTBvHjgEX+saOyrd86Hp5fvzp+PKlvXjd
iUE6ZHFuSVPPkZs+0hynSU/JyGbEuZ7SoH+aAm3cP9PP9eVbPC0PGO5HZz/WkVKIM+Qpt9FabTsz
AvTNCZdAedsqegjo3weuN26dKea9/RbB2/XNxfGn5dXxu5tPP5RGoEc4MUyY6lk527rR+ghpKTXB
I3wjGTYP0WVWPhyi5BZY+1l5/3MwMLt9pqnrmzfo4s6WH48ArgHYQCMsz08/3VyuX9qYV7o5eiSJ
oIg/YnaGrCMmQDLgwj5AYN8Cr90a9n0Meij13p1W8W36tXrpwfbDg7/9oJnubPsN6u5bePrRHnBi
DyQX3GLPeG5beyaOmUaMAp/3rJIN5uf7aboHL/jX7TMdXV+9xRB1cXx+c3bzo/0gObIYgaMT7NHP
gVPYVhGVR1pSQvFb2yp69GEXt3ETfUc6tH33TEEXN2+RoFucvvvyYf3l+Oz46tPx817tiwmvdH0S
KasymRbbmNsEA8QsKYkF3P3w9Szzie7O7+8C8ECPDPS77M93XzJvuI1A/39HxLp+8dNm+vvy4S1C
DQQvsETPm/gDFGcdcS6YIvSJSpgns8Q6MpkUAup9lvrEMtym9X36/LN9T/K3Qerhvpk67DdJ2y3O
Tt+9/+GHCVsuBSeCPPs7ZEdb/A9AO5Wg63bSpqcD4NzmARiGjWP1/p+eqRc+cqbJ92dv8WA9Rq6X
zPmVHpEdmaZSTE5VwIevbfBuUn3EKZHSYnCZm7D9e6PV830zdVwcv8U49f74wj593pd9zuWV2jCP
EIEsbQIlfMuVto4UKAooQxFuPUt9dHPvb5M/vqMG+3TbTBdPP31jxNBD1nR1evwDKW5yJMBgT6D7
6XDsUNwmOFSUI0Bzb+vjKrj9DiT3eNdMG48/fGPK+JYG/WCuARgbnDVOyDeF4CBsnhDKjwhoIg6y
blsjzzzB97YrzO+faen6Tfqvs+Pz0wtgtePLH50MMbDYYBNQU93Wj2kdUcLBpJqzePK4v2e3cZAA
st1+B2Tb/YSZjs5u3mKy+v9d2v8bbT3f6NMfzewgygAnT4zcM28wB9LwegDRjFuPDOqMPXhiaL6T
P92+e3Ziti++sRj00If1HAR+ADgDAyenDh75WC8lE4uzGXqYOiKKo7RnzkLPd7ZdPd02U8nHtx5o
pvaRH9reAwyGDkb1wKpt6sNkRyhtM6rmnMBzY84/CTb7PmOmqbM3yRXYgAQ/8NCoIwoOALTaM209
822mQPUI/+z0XtlAAi89x9/RNtNdM0XYx28x1d/utfrR3YrqCG1WllRz+IxQo/FTgir4w9ezCh7T
zId+w3/YYrXvM2YKu/z0FoHaN4Dw4zsT6JFWSlHOnnpC5qGH8CMp0FVizhoYnxsUvhMbzG6faWl2
9Y2hg43U58cDOpNRNL79xRrobaRgmkhSramfZB+U+ydh6QGwbX7ATGdnb7qm+r8AHdCNDT7NmkUl
So4UUUowEzXyTdbzOez/VRB9vLoPXu6PULufMFPR9Zt0fhvH6X/F/U1twQhLT1/zBi1xNHlGafK9
naaPjmrzVLxWabufMFPa2fVbjFjnxxcff2xvCZ+mVATh5BnuzfAFEeCFJNVS723hPr9NcvSWPJ+5
//mp+nbjTC/nx2+wh2TjLP1g2IemYKU4ZlSeU9ipu3QrZwI9xwH9UAx/VsIG8vsnR+gB9m1+wExT
Z6dv4QT9PcjZdClbv/XaoTwCrEcwR2R+o4PmFCpHzc5k6OF6OmTbmtoYj/v7Z9ofmzZu3VrC/4WZ
u7+fx/s2wbi4rW+XD6OPGyN5L199WCYmM2e3PoX0fe7l6dLp119+Mi1TMRP4YEOD0wdtAYInhmy7
qjC7+x4DXvg4dGgp6JWgR8sC4zcdvQ5TedMVTL6IqU7OFUNfnkR4S6euSIxoAohw+eBN8RvSwjVY
QzX1HT/Ob1p6GgjEv5EdUFN/m0X9mMWDl6Xftufp+3dpk3zMgrSufvkJ0CZ//K3peRXSB8E0QKnC
kJqmlgA2ze9urzDuil82/4+ORKGsoCpPh1qXK4mOTof0cWOnpupAGXwbPd0jCs88F8UJQQJqTn2I
ZCLMNkUp/KSJw648Hf04X1f9EC0rIzLtV0vBBATBrlEQEIIgFm1KSYNo5JFKq1POjWYxNLV0TO5W
i5elwBzma1EWhRhuCgz3zdeSxEVUmnFRnZKyl05Yxsuyi848LzpTumNOXHLPebVEuAitIRTLkmp6
og1FWQHPc9XT6tQIm+EqKYt6nbXFF5MOgZNJl53WUXZIY9NebRmHxRR6OYhFqAV7ndqsN2U2TdAW
3BqH06b3f+e9e69DdjWSTDteHK1fXt+OIU6yGKccZgC0MFXyNmXRwjSI13bDqTIJc3Il1ZIZhnL6
QXcHlLdjiJMoMLqKY+iC84kp3BQ1BFagIkGH0y62OqfkFV8EY80OGCIqXPu2D6M2qBWb2EAxM8Vu
rHOj6ozuNBrzwLCtaoyv/MH1lV25Qo2O8nUS2q0fOEn9R2iEXm2nQxlltp/52ap366i1+77Ri8Jw
ubTdrs0+U68mgVMXrvCdlrTmB9MbFVuS2mwbOxeii+3USHjv4ID0gWOEfOCOG/Na2bQImmFRW0aR
4QFS+ZsveRmvvDhUmOApo3AxeBeBTNxfK99gTut5xLO5Fv7nQpo9s3XBmtCJs1b/6fk6Uqs68yJp
E9pZYlHIrnGXSdEEn/u8IGsWlKmwq3qsE9skFXGXZiO60R5S3WAr+rysl6UIyrssbgxtj1grsXsv
8RvbHVjzaRS1dReYWWqbVu7h4WXu3ZeChb4Te5VZ21VD8psgJJo7gsihsIXnVZaTBVUR2FYT+smi
56L37DgqW2ORmPoDa+v6w1AJ63Os6yFZ+Cxz74o8zJJVP4ZV59AsiJgd51HdYM9qmtu5m1kneSfU
56Ye4pvQ48OlR926W5JIGed1xpvfVRBG9ULEShKbi5D7dhrzzlzoKmu7VRCIZRoVXexYMpAOFt6d
59VoFXaujNqpSpWtgjCN/+zbXK86lg6+nbRFFNplHpHWVi5VZ4OIi9gxk6H6MAqzq8+GRGaO5bl1
bGdJmGVOaIzyExmDtra9tqBsWQ/9wgtj7/c8H9szEnISL4K04PWqZmFxlbdNUy2igSmbZS3z7D4a
abmQUR7eaF+owalk19mpVp12+gATnMvUiFVtZ2SQHwkP6HlV0zI65U2Ap0z8zLVs4XfKWHA3cpc9
j+PM7n1e1x+tXFQXo9Lijzjig4VFsuCqT7qBOUPP6pXZ9fSq8sIkcNowhAaSMMgz28hM/lvT60zZ
rZVkF21PXbHo0tClTmAZiE8tGnMXoZXlua1zGTq5pfz10NW154RV6ZZ2X+Sl5yR9QgIci1T+qkNr
EKtAk6BzotgMltpj+dKMUs89S5NcaieVPGjPEFHjs8ZrktQeB66jBekzbixpOIh1YsH4113CoBLh
KnqeD671R9T06s924HVqZ51fNU5EUm9Vw4yiZeTJ1F2UFT7K9kqvYHYnfOItVBAbdjOaYWWnVtzH
NkmoqRaN1KFT0XqRhYlHbS2D/EOusiJZcbOUgx13xpDY1B9DsY76zhDLsuLZQtKqTR5d5RPwegra
j3jhLsuHMvD8p9dXfPv2vy6e34nx8P6Ev34+vQDjr+8+5PfpdV3e39cXt/n8Nyd5334V4p7kT8Bq
65sdpPc3WO7xPRt/c3EL6G1B2mfM/ADVppb5b/BlB+JtoOJHQP3tnidgx0HnASei0qQE6hhAYU/A
TiPbRW+xaSmOkWWGAfRvwE4cYcBvgiWEMAAgoIe/YN1EDyIDwEVOJCpbiErP69tSE4Dt0/ebsA7S
NyI30AEaZ9EvRglQFfJyNYvcolTcFY0WqySpa7WwTK/xbTrqLj7rcjNPVpXhk/6yM7sgOSl8khiO
qmNvPABaTLLnOUBga7TnMGCyicLeDLW+JGGfuw1ftSyWdO0Do6SXxGqj3tZBQf4c0iQo7AJ+7G5k
Gg8khiBbkLjwrze0t2dDtqEMNkTiPRp4H8D0ZhPsjALa3nyQnnq6KvqKr2iR3RloOb6LRdR9MdLa
XDY67A8sfGf/IW4ipzSxFJCTnNDOBlqDzzbqOur5yq8lvYxCyc98WoyB3RGfXRqkb7UTRcb4h0xN
cWJxV/368nq3scfjeiX6bUyOHuopidh+gIr6sVXwjq94FeuVjpv4intVcgC07ZWCVjkUYsHCPfT9
bC5TsrRRQ2diV+My+5xZsbv04jq8eHkt29DwYS0W5smpYhS7SaY+/k0pGYzX87qCrbKuqt53pBqc
hsSW0/d1cwC07S7IwtsGLKxFCIy5T0nZpqhKh8OYaU5XXR1HZ6KsrDNgjODTaxeEvZoKN9xS02TC
dGo2rCPtzFy3pdGuOhnWSysj8n1t8NZ2myj+8rKonQVpZnI4FcmYhf9ZM1EFUhIjFpWxigAZHJJF
CfK7XB7Yth0NaajGsjARqDFMC5vfXhAb9SAEspBVNQRGtiz9IgrssVKZ7wyBMr++dk0CvX6UmciM
8WqcKTne3D4vDJRuLdNdhU3KAYMLL+schrB/83o56HWXFLIIJnxmdtf2ZWY1Temucu0nvyoSU1vy
iHz+Z1Jme1dKUXg8r9xVYxTNaRaJYdUWYfJKDSEOyGnXQG9gEJCzmZTCDxlto7RbySQfLrw2ap1m
5Olvnl/mpy8vaG4MEDW1AIK6B4uBCDRd37DuMPWSKCzrblW5CQWmN+LCLklD/iMV/MWBdbG5p52k
IQknWBbyLGXNjCFJZO37pO5X6cgCtqr8LHRtXwr3LGJtk/7GrZKEi+lf/H2Y+C4941Uu2sumi8vE
YX5jsoWqxo7YgUua3g6rMf/Medu0jhXmafMbXkeVFdeVirRvyzqSjZ2YUTEA6nf5uGQyzn/NEiNQ
i5LrvD6tCxkgK0+rbs1rTpTTlE3Zr7pkNNOzIM+1e5qQylqPvtDNOpedmZx2llE3nY0UqCxOBhql
v1HSlueWWaa1HdfM6M9eVtE8GqKX3ESMQ68mvsAnzKzBNGIsyje61SDjwO7H/jIc8q9uMv4pffL7
y7J2zQGCGIZ0MMRI8Cqr2SlqGpeGXkK6VeKGzC56xha8CNSqD+P6gDFMH/UXXwGWe1oTJroouFS8
T2Yq8G1a3mAoP/Uo71YR2ISztsY2u20xrtK0ND4SQOgzAzz51avXB7SHyMQowzj6hOk2haLcW/SZ
Xw0rKzLIMvCarLUJd80T2eSJf2CFezYT7vxhVBe1ZBAl28Iqr0p9bHG/GpK+cXq360+nfbCRmavF
q9eF+hvBm0Lg1afgPhMVUdPyCm9YDYb212GeRF+srk9OurhiB0xkMreZ3hgXEIL4BI50HqSI67Ws
zft+ZYiwW+gh1u/zTo4nQZrQ84wY/WfdqCaz6RAar3ZWFAQsqFkoXgGXzwBq2OaxVEnar8okJNGC
ZWEeO6oqhtFpddK1y9duKo7CFPyxXqofutc2jaVQuqRZ05JVWud0yXzr13L02SKJ0uSApMnstveU
MYVYDPSHVATOeFt9lgqCyHL1uKKN+FrVwl3VxhAd8CO75gghWAjcvTVlHDNzBOC3aj1kZJUFuW8X
pVWf6MZvHI808pWAVsGJbIqane2sAg0UDAlZ5a3J7V75+brXpvVqc4AUIBm03gqtwJFt7xowQKJI
rcbVOCSFzUTdrGMf9ILrW9mBvdujINDh8MPIEaciwExUlRvhaBYBWZlasGXaWIOd80IcOMW7np5N
b58DowrcLECtbi9Il0ZNKvjLFQ3DNAOR0jFqpzkJ/ijNoVqyYTSCAyL3GMVUTQT3riglOFnbIhG5
LJIUFlmpit54RlCfydj/nUoUGV59mJDiAnFiBtSE/c0ECdBhXpQ2ZGWlwfCpHbzmfTvWYICkPxw4
TXvWNJVkYBo4s6YSs9PEWRdG40iHFfdCV594vszpuhd1Ke2MMbc/eXll05PPDi9yRnDGYI2FwrTl
9hYmjTKyJBMjMKHunaIsvtRdZh3IUfeYxpaQuetDNA2YGuEhTL+LbJ0V5qLwe8dohvET+OD0gF2Y
+1eFqtVE4UNps01Mq3wsSknHVcmqMrbdNO66pSvasbcL07cahyWpUM4QNxRnL0cnoxNwP48cKYv4
2jVJdMaDJgP3CkW5vw+8zL+8dt+ByDDXhV4GZIB6nrYPzAtUDmC3qsLOXwdV/h+L9ezAvu9uAz59
YiEkmlco/M22ckvDy7NQRP2KK1L8nrjS/YQfBQeksF31wrcAC+CFYNTCGyRm/sUceBER3+tWZaq8
dpkFtDGcCGTxeNnTho8oPCRZt87zKslOsiG3svMexPNFSUqDfvSyKI8vE1lqq3YalAfaMy/KitI2
UldXTt94oCCtUvBk2RAB29SJyvvTEBocTlg69gKVBhLQdclEfh0RXn8goAbMxDFyX3+KighAwPa7
OO3fh3UwpouRREH7lZZWbig7iYryDglGzuwA3q21AUTCK9F4EX31yeaoq2OX4LLQxk9n2+RVQ5PF
kgPmKB4vmeeGThNw7aBQdUjUruKBxZD0w91PbzWakwt5IQ04/KJb6Szt18PQ0kUhAnEAIu5wbgoA
ilC8FxYiNEdw2bYvmvHQyxvWrioZ/pF0Y/+VdlWysjxtOMEw5udeM2Rg77PRMWhPP6QkPfgQu/4S
b6GbJvIwGIGnIDMb7yRrIi8v2lXcB7Hthbr57LeS2bXlBniFwDde9uOjV9ykOnd3FTQnKE4B0nVa
7sxXRpYukqRK25XFm8YmGYDw6Olh8bKUPQtCLEMoxjgIGgSnnttN4MZZaaRhgQUhm0ntUIz0ahyR
z9CwoO+/RxTK8nAP6CYV06Ns5M/EiKrayyuICtv4youD1p4y2S/E6MLvWRUK5fAQFsLbg8feEIXi
b2fkQd6uiiqo1pk1JP/JqRCXlmcm0QG73E3OoCdU/zUaLxWGASc9bsgifahcLRrI0noZmMGqidS1
rt0PwqeZLWPuHhC4T2WT45MKmQqSi9k+jlI2g7YmgRlqLch442VKeH+SIsF69T6CXwNbCIIZbh1d
EttrKwJeDKlJ21Xtu6Gt4iK0E+HLZZL34+pl69D4qG1ooCj4SaBUUCsozk/XN7ZRl7Lx86KnK1KN
0kAhqSyKZQ+kWtikKQrDRszJmB2iL+ByMEdFHar4OLySkkWjLJpFCA65wlvy8DzbTzHW6K6gaEdY
sWI0Pds1xtFWQ12f+rJrD2zuZBjzFYNOx4jC1PoAoLcty+pjr+5SwlayxmoSFps2Mfxo+fK+7lqL
wtAQSjYThQDfPLOWtIrjyghyutJD+Uk3cXnip+BGpNDe+mVJ+9aDBh54EpBxAuduez2DqP287Gu6
6s24+RhblUA7hQoO2MkeKXgJK6pPgnKUg6Z3B2zaiZkyZaC+bqw4Zanj5YKuJ6b41VmZZiDK0atk
msigxSzWBDJjo9FV3hqFnqSBN0xSantG1mUHNm1XPZpZQMQwObyGH6T29nJEkuvIF56/rtIseG+V
PFw2+NeZNaLu/LJ+dh0VRCGvQOEMr4cGSbYtikcFcwdj9NasSCl38qEBOjCqGNwlXrJv/tZ0ZhOs
B54cXOSuzqbi3xS1UU9HuWMWyow+cjW3gmAdArOFtp8WQY9kbcheaxsg/0D7wQChMjBXsxVGPkJc
NCZ0lVVGvxxGImzpqvYAAt1ZDQIyGFmKuQhgJRBy2/vY0tYNZAUGIu0t5dS8650OOfeBNHrHH6It
Epgdr7zFG1ZNUMDbUgAptR+mpF9VVVS3ePlpbSrbIjVJnS4J2+gUhKM27mvKU8vJY9qYdi/06Iev
tZqpPfMBHTCKV/LP97TN69JtoxjPwZNzlHnRqSCsi1ibH7s0bhYWukEOSNyzvxwui1joYELXFJ9h
rBYZfz1YIBBYr4p1O6huVffMO3/5NOxIsRBl8BIm0HPTkZAzKVbamqlFUmvdJAVZpLLAiei69IBF
7hxvSIGR4NRhIeiTnMWTIMP+JXoU67xB/0sZKOl0tPyaxpmxeHk9+yThxTcTyQOGB3h82166pDCT
dEAtWib0qwVM8jmT+IMT4eipA5Y57cxW3MKa4N9NlJ7RkMjnnYiF4ZdUVzFb+xkndtxnwaIXEvW3
JByuE0NYZ4wMxXmfZ69mKx4kY20oecP5zzFC3lRh22cZW9PKipHYeOqkHZJ00YS1e2A7pzCys0hp
oV8P3nKCd9vb2Ss6soZAlN+Z0QV69YiToaZ04xtF/N4a2+juZfXtMUcUL/D6FcSBCU7O1FePXcpD
UbC1Yka9sNoqWbJeZAdc1wO5PVsWHDAYBtROUcWfGuM3o2fl9a1LGTie2jXK0LHySJLloIqmtNs0
GZg9dKkP9BXnOl4RrxCXoxiKz2PAs+RUJglVNjzsGDgmWgHusq5IPGfgJENLFI1E80HEVXuo52CP
ZU8QBu4Q+T58O91+ZsHclqMMS9dG0tfr3I39pe8S70xUXL3W9SD1ZtOL89CsOcXKmdYHHcL0x46u
XaOJ0V0w1CeWEZHTl3W9b0GgD8FhwylwtLFsL0jSqEI7VMFBxJip3XiJtlMB4ihog/DkO0RN7g0Z
OjXp3MtVyIiTwMz5Wrc0XcQsyu00YMa6091r01Vs3TSEKxDJBepGs0X5bVn2Lk34Os6s8X3BAz41
oiUHcNm+rUMDElgAAEDg5pmUMErQw0cNtuZD19pRJ5UtiO8utB8bB9zcA58wPysA59NLSAUi/rx6
M1RN1ekq5Osws+pV11l6WY+DueSeWS2p2adnRsSyc7S/hp/CrBw+5H6HbjUDbs9gYrSRmPHXeyWQ
9wjE2GNAnOlPfGweX2XowXMBs9Zolg8+oA3U+hIbRX+CMOM56WjUB4LkHi84FQuw0RaFuyUz4JbS
2CwiLxBrM9LEKcf0spHGokH/6iIMgq8v2+o+F4i/OQP9gdFHs8rMBeoGHbSt4Ym1j5oYiuw+u6pD
7R5Y0j4LQusykArHaNdO3A+iLh09kIjrQJTJZTuKapGDtT0xWs88IGrPgvA3JYAyTPRr4v/Ngr+n
0zYf0Dq5lnFtrRMjhu2kzDqQQezAeszeotYHqohYWsAotm2C52EsjB7eJI1kuchk1y+5HySfRpZk
p5nP8zN0kh6q9+3BAFMdZCqyAwAjS9oWKkK81i0rI2uN9towX4RNk//R4FEqm3R9WZ6GsZqavAfq
3hIZjl9etpQ9OkRKhrEBkFboNpx6FDePQSZ6FfYJB3aj6Fh2cz+/TiyDr33pF8uXRU0fNXMCmEqY
emUEXAC6gbZF9Vk5ovsBC4U2lVhWxZhYTlSjHH+WoVUHXayRy3u7DGnzUfGu6tdF3kbe6uWn2Lvd
CtaKjAP5jZqub5AjfpZmdTaY1toa8iiyw9ht4kUUj/4FMd0us0tZNFcA6flC9ik7IHzfbkOdmAKf
KtlguLaFo4mxCA2Zy3Vb02pdlXl3QgzLWhlsDA/s9r4TsylqZstV29bg6iq5btLScsjYU9v00AL8
8m7uk4LZJExloLqL/0wL3tjNoBtblqIws5ZuOJxwM9anNKTa+Q4p07QORaiC5czWEugurVQMnemE
D6cVC/8z0VYHDv/epWwImS2lY6Msh7y31sJnfEVEf01G5R3Qyj4Pg1EqRIGp9daSsyjABvSY8qm3
J+rqc/hv1x6i4hysmG97XXDL8SLoAya3b1ka6e/0BnB0Yc5PHQ1VUJYpkjP0AQefwe1H5x0qWOkB
uDftzvxw42UuUwMtKoY7FHtq+AELgxhiAtm/t5BF28XoGiufZPTAinZFTVOqwJSgeTThc5vzUpbI
gcDm0gBgYuroXSTgrexxTL6+bHd7JQGvoBgDOAZSadu6e7/u+yQyxDqgXbG0UsNYDGYhF3WRHioe
WDv7h0VhzG+aewNAn2cTMTPHsEckx2yCVd30OGuOP5ruomlMunKtOjj9jqVBEhwhBhB3ur/jrFQj
QimccUTqq6lCuEAje3eJaa7ugM3vWuBDJQvv/dNoMcCfW9veRYm0MomTDKYRxv4JKXLD0XFGFi8v
aK8UjCcyZGIYIZyfLDnmBNMTWFDoRcNJQ5L2oui6+EDhZTeGgePACwytKW0GQpid3zAkrJoY27U5
MmYrXxKn7rx2nYZBt4q7ljldX5UY2enoSWeCbHp5kfusBKWYx84JMHDTJmy4W1kbYGplBx8Vd6aT
op3QJlVTXLiBW6zVELkHgPtusNQ4ZFSZePEP+HxzFiyzMskyJENiLVSJFp4+I1mMrnwv+lq24K0W
aHdQv6JLz72sUHU45FN2neUkHU1saDPAu1TnVXATo7BK1x2OnxZDexppq+xO+67gydotfREv6kZb
X+VQIRV7eZ/3GNNUdsdULhIkFPtncTqKK4txZB5rSlO10FbuYronOlR/3+NepjlX/N06ZGE4/dP6
N7TJMRNWq9gX6wpLheGgj4Om3HRoXacHDGefKIaSEGZNcDTwd6S2RbV+VpJYUCwo7GRuyyxOT/Wo
x2t/yOMDgXSvrAnigcGcOhhmsoIoQSJYJtbad9noxEYUnwcdQl4e9IeGR/aKQkMg2m7QTQwL3V5W
auRTb3RurYuS9ItMUCSyBeCVBL9xwCT2HYXpbwGATwUMwd/c2BZVylBXlJVAOrUcLqjX0QV1PcxA
dorfcJ7mJ0XCRjvID/qcfcYIthhoAHwkcqDZfg7EdWk7ADePHIOCJYa81qFFigPr2ycFaBjtjaCL
8Ur92VbGuUyCAZWOtdmO3bLoKrXouuhQwXWvFA1iSIOHQtPSLKIiq2j8IhZiHZdh8KHkPLkwzJZd
v/74immkHrUtCruYraVTPudw1XztGRi3FqQLFlZEygPOcY/xYeR5MgeUjqeXNm1bRNrkTGdEhGsa
Sd9BBhM4Ep23MIHx1duGkAb4gb+3DPyLBrOZCaCMGqC6XIVrncWurTs/XLG0P0TU7igHUjDrTFAL
x6tYQJ5uLwgQnyKgSX8Np1ScdHIIF3pU0QF2a2fbIGUColMpFT1e8zErr6IkxYiivwbwamO7j936
ris8tYgDUr26MDwJw6Qckk4E7R3Wpe2iCmNWaNQq3CC7S5qJZW/9/lBlZ5fgQmcEdg31QMx4I5me
AveGK8dka6ujOgrW/cQK3xQqlGZuD0ExhL8ZTHvlIjHqsPgzzz0pbHPI+tTRombFssisvj8Ro0uM
Vdi3VvBhEDov/vPyiZgmF7fxOVg+wEv4D8QZ1IJmxkq6pI6NCsZa9Em6TFjYpfdskCVbaNm3Zun4
hWjJzYgjVa7y3BjC6yElAbuq077tnNa00to/EJR2u/3k1KcAuITWMxjX9FKtzV0rwlAnWoXBGq2z
Qb9o6iJubZ65/83ZmS25bXNd+4pYxXk4JaVWd0tuO4ljJzlhOU7CAZwHcLj6/4Gd738tStWsTpXP
XDYEcGNjD2utHS8/UzD03Z8zv5dfu7h0jM+Flsv2t8bxGjtKzMzLLkA68+SopUbsPq8ZceHZ8Opm
D3h+E/HxG/lllgIxUKbZYoe01h/T2tGzU9Ihn3DM4sSQke/IZo4qoBvVB6MqHSekUJFJoP2c1sFL
Jz047HxAFVleJVgk15RrcTPAHMCFb3yaCeWj7UopTrWoh+5QZVh16FtxXPweJ+PsfTRms54sJtRl
eVqEZmU5xZe61ts/2wqkpnF8/ffcRKL8HKq5uAMXLAzhy/WnE5muWcKvxcl0FhQK0sCoonWNERvI
kuXdMMTNjrHcOieat+rlJaKg9b0tVAH6GP3G5+0LNCd5Xw5G8RVLf3M9Q7WIYagB5OKW0B3bbEtP
6T+nRUnh1BxCMyirqMn14eH1w/sWN28+pgfKyVbEW4p+/maZOl9tb6j0/EQMSFWxcDM42+0oy2UN
7awzk0dn8SY/corYcM6UwpriyeaifB2rZq3ez6VprY+1L4MmSjxPg5JkpmN5MAdLtsdcM2w+/ZTr
pR1Ka/C6vVjh9k7Q7eWMAHRQ/iXDvj6lxRtj12m68pS5CUofgZEsWZiUsaNHsd/ANaGI6smjZhZJ
e4RIZLqRYc22tmMSty8JeSvIIjo/lPJo8F//jIDSs70Q155GZ+kep67/2gZJ/gxRay8TuWPtgJm+
9WqpdVPHv15p0OWag/EXpwKZgV9he6aHRi/Fr8Jc3MM6VtqOgdwxdiX97ZL12Jj8thC9ihJVgjUR
p1xP0w/DEjvr0c2NtXj7LaY2pLr2UD/hJW32Rf85T6bcKU8OOJLjortuGiKvsFzmfFj/kIXYq0re
fjI+lcPtInJS6bPa+A/vpDZYlRnba31qR6N4ma1FOzoFLYMq6Ic3W4fSiYEnTwMEvMw2mpnMACNd
8/o0ull6dBffgW9aOxD9ZF69NRQEmQC6guqD5Ss99o1zbpNOJn6Z1acVWaFwccfsODgwGwcSyZ2H
4N4J/riUups/nGCpaevioABzatfKiypzmkNvMhuunO7snOCt1bMreBPccAL2wNz4+HkmXajdrj4J
tEWi0SmehSE7GI6aEQrhLTvL3Rq9Wg6pBCgoxFDBxhjtvqSG0zb1KR/y9Zz3IPzJUPud8PMW+6y+
1Q/LbLzGuBJTzAnfag669NBPefzFnxd5WO2kDQuacpFFxDaFiZsvz4Gshj+msvB39nrvK9IHITmm
ykAOsdnrIoxRo+eIwazZ+L5YQMEvmi4fO9todu74vaUA8CHeRdMB8Kl1bTBLWgPUjIVKGvMPEF67
EwohVihnP3h4/Vm7Zy+AFplUxBFTM9qs1OpkxRTNitPaftOuiUVUrP2zpgPp1+Pmr9dXu7cv0NZk
ELSvWXFzhMFAE8ltyvKkScc86NliPOposjwO0kx3jvCeZf641MZkxJB4sVun6r0bcf0LMNTyIHtZ
uDt+5N4JAmNl5gNlJwTQNg+rZ3SBWfpJeYLrm3yk0ND9MyDP8WBq/Xw2cunufDHll67jEOa0IZug
YMm0V7dnuCIoBeWDM2wKvT5owOSfkKHpPvSBnvxNiLe+t0YpnxnX5uwUUu8eKR0JgBuYHzCra6uc
rSyfRw2r7ILRu1hzhuDIPLHQf/h0SmUF2qhSptvqKKyV5qQOyiKnJe2tyPZicKhDvuycozKA7TkS
m1MqJfVT1KLr3XRNTQG29FiFoPlgoR/1ceHm/2wYnUHpoTfOZeOPWfj6Dbh3hkCPiFKJgehbb+6b
5SwOTGK3OBkaEMqORuaxI4X++Poq9+4ZDQmlUYaJ3MC30GNCF0CwtyqX/RfUw+biS5oAVPpAtT0T
h9dXu3cDgO5S6bLh2+Atrk+SG6C3WeoXp8k1i19RpSgeReB0D3Fc95/NMjdPr693fYZIcbs0kCiK
0txQKn1bBF5pVK2cQAlfaNrqUZFqxWFaUVR6fZXrM/x3FRJdFqHJT3fieleZtgAsSpz8Msz9fATb
uEajtI2TZkOXevtSpNM0klSRDZzS9VJWWi9mYdfikhaeIZ5n14uRKXDz1XqsWuj7O8tdf6/vO0Ov
6JtlUHLb4gjH0otXTevEperd2kXQw2oiDRG2l6Qv/Dosl9F9043+vxW/1QwoMFOwvN4g7jMViKWJ
C8fcPfRVsBzzeEgf336MlExUZeLbKptCZSxMnmNjEBdDmEHYmm52QEtxCJs22wvC7xnHj0uZ1xuq
EdvrsnRlQ04zXPy1M99b7dh/WLxlfP/6ru5Zu0rcaTmAw+J9vF6q8poy6yyWmhNAzgm9gLDXhuRN
d/jfL0Q9B/QU+0LW6XoVjV50Xg+6uMhc18I8C07z4F2MzH03dsNeXeDu6ZEpKQlVECz2xmFoVJnz
vrFUV9vLoBjK5RjHY/bs59Peh7pr64o4RwmGvbmbpeq5RiVO98Qls9aXosgP1lw9j6nhRJ2M2+j1
T3X9NH8/RJwC+R8FeeeGzTCCxvWqWohLvSKv6PX9CpOsn2IjzI2eOo+slpJe3CzH+bAWFPJ2Lva9
c0WFTO2VVxqR2euP2OiOMKyyEJeu1Szs3h26SNj+NERyMPZgEXfskqBcsaKIR2jmqL//IakZulrS
EOBOD7YlXpokqOkWVfHbfT31Wd4UBVOgube5aG7qu/NYYP0ZvbZDVtvZ4zzIecc/3Tk4VqFlieCR
0rbZWIm16OaQGwYOGN3KQxZ76zNaH/6xhG22YyPfCqT/izu+GQk8enrexB2OicbI9bmBGi+LpFiK
i2yXwDwaZZP86cVxj4imDOo5Ghv6fugVulXw0Kax+KfqktRAJdLTR1QRjfVdrTnrP2NXBS+wIgNk
N+tEt3eYYPe+LnCvAFeA16FOfv0r11En2ylicREoa35xBr89TpM2/vn6hblzO0luoBkRz5IT6Oq7
/GBD+ay16HD54rJo7q/Cyh79UbcPq3CeYQTvfeR7WwK/RQeDgA5Vq83Bt2larnVXFZfURJyzHess
D9tlSd8W4n3/wHTjVJGQAZeI/11vysVQDeG3xQV91+KQxotEuCjbw8LeM1kCZHVsICxvaqttqgLv
saFP21gv1Ok0Gmcd7O8l2aPQ3Ts3gKnAJxQlBTDI9X5qB7WJSdrFRVvFdCgDD1J1mc4Pr5vC/VUU
d57ePe/35goWVZMOtFOLC2Wl8lAuhbzMk2V/+Q+rqCYmQG1Sp+1F5wVFGsp3iwt6cPXD5IvuaI/O
ngTD3b38b5VtAuPxhjYmAlkXMsYsmmRPlDos0463v7cKMlkqi4CkwXauv4uXsMW0YZWhzeKolsLE
E7R7Slx37Ew1sLEyVeVB4OB6lcmpNHusxfK8lElXH4qO2PSdLqzy4zIn1h7y7e5qyunwWqM7843A
8YND8NIsgymXLs/91CR16Fe2G8WGsA59Zuu/v24L99YiCYNPxQES+myCUsAocR4DUX42Wx9iRToL
WjCc5+9GkcqdZ0y9vBunT0eTfIR2IySBLc+x0acFNLSzPqd5p62R7Q5iuEh/0psjcj6ZfUTOr9Uj
vwjEXlByayb4VToXQKNV2X3r9tZirW3Z+OazXU/LZ9TNpkPuWPXT64d5uwqi9YjDYSukZ0ziuTYT
0c0d51nEz2biIj0SL/WTbshmB1J++8lYhVgARSlmKgDwu15FMyoq7PYYP/vlan1A66x5GrXGeOhm
a++dvv1ilIYpvakcnVLHtlmWwINZZi+Ln9sChUWrccs/Ta213482bW9j0YyvrrSanQzm9j1kUVqX
DNGzQW5t++ym0ZfLLNifBXN4DV04AQdz4fNFMrOdyJNS7kmP3d0noi1KPpUQa7tPv4lR+uwlS2aI
5SWzlz40IMgOnd+0D1OaLGHuuh/fbCzEFhBUARVQed8qMJZj7Jgd6njP2exOF20axvc8xNlOYe6O
SUJz8ID/WESndPqvjYVvmkDZ0lklhQ5bupn5aMV6e3p9L9/cxPXVpkVPe4QHEnw6gMntMlmlJ5pI
zkVv99MvIrWKKmyzuus/lonjZ09EDMYU0mkYkALtrGmcojW3zTR0Wj3JQyLzMo56Y1H/rC+E/hJk
VInOeor4emgFFVMIbKsYupDOFdK/TZyVY5Q1hth7tu7cLgVY4nYpiq+zfYIpsie17bGTvrVyChBD
Yv/j9F7bR71YER/YObg730dlSrSwALGpgvrm4OKxQpK8Ss8rRB79ODpe3T5SxGz9kxv3hnGRU82P
QRdsDD4lU1slT/zCkgrMmgXpo2/kVfVutRytjaylEnYZOvGyJg/48OmjOXro4viLFVfvsrEzh5dB
xFMedb0+639kblnGT67d1lMXohBlfJqGOpA7Bnh7nqSAhPhk1Lyc9AyuN0iDc231Hnkj0ZTk0cOS
PVRBUrz0QBeOrx/mrePg0QQpQv0ZWuNNM8utKktqzKs4DwF0jEKj69h1vh4aGtYT12u3k8Xc2ZqL
OIsqexO7IwN5vTUf2r4em2txlnHXlYfViQv/MHhL8bNp5rSUX9/dN4b89R0DCc9oB1BOaB8DIr9e
LnYb32hjlisRwUGKfR0ZWvCbP82JdxgFesVVOFRZ4B3S1jayNOzz3kmiCWxI88FKS9s455D7vwAF
rJtHYTW9+yDyxLAu6dyWRuiU0Fs+BVluzgfAPubfmuXG5fteOlXzUCeWRi9yQDX018IkGVPMD+rC
c0pq/+JUMvibehPSICa/Jziv46L39Jznfo90dHNfAFGglgc3EhizIiJcH4Isgypf6io/y3mww8XT
8oMIij0Zq02vDWcEjgx7pSzDg47KyuZa9s2wCsvO53MXNOVx6Yz+rDuV85CD6QllkpqhVbjNyawc
eRZFiXTDsr5N/Ef9BsumEAVuBuQ2JYbNb0j7uiK81dsz803NJ2OK+1+MNO1/ed2sboyYsppi9QBr
JL+5mfYCEFkzJiPozoMZN4fFX5ooL2PzBKVyD4xw++14W/loShWae7p9JCBt0yld3e4MyeLL4Aj7
UK/WsuNR1UtzdUvYD1knpWhE5iygCNcGAjm08ZN17c5cBWEfm5UreogBoFoHre0n50mncuAeJ0od
f0FeEkvY95a294qob7P9FTQCWN5mNtINN65h7EHruUt/Ltu6fnEymZ/mvJxOErRaGrWjl5yq2S/+
FpO7p0l74wXJUmms0PhgJB3YiM0BqB6f3cVrf47T8bMU9vg+HvtPTutbzzoAqx2vpO7bZqNQMWhL
u2RhsA83RjqtfWxrGTqIWt25j7Furc2RqSOAPbO6jPsILrkkX4a0secPb/eJ4D3iLzRbaBKTmF1/
6GHsHFSjYnkuu7xNniZPsN0WvT8kplE+fe7iGvWg1y/L7WdVIvu0Q4iIwe1sC8TIRDT0+OP53K+S
qKWoJk1/V3WxG2SHXm/9/p2Mh6V+3zSp+FTXDMV4eP0H3N5W4gQydgXvRzF0C0OBOboY0+zKc94Y
zmdRBPqTra/JxUWncefhvr2tSvWUiiMNcZgMW6gXntFsklhM58LMpo/2mC/vl7jMdpKZOyeqih3o
HSjM8w1zlR6WpgD+8uwuwtGiGLWJIdQ8D83YqpZLd3bcwYt/6kgSkR6m0lruwCpuzYjACywRFszc
JMCW12YETYkpAvWynL3c11QhRLg9Mg9umb3zgJ23UYcIt3zzZ1RJBqnNN/YxrJjrRYPMn6bW6Fd0
B2V9SMYpCAM9Xg6J03x6q8HgfSiCg1uC2wYd5nqlZJ3Hmbq3jjt03EdYdOiitkZyMprZ3sl+b10B
/HiFikWiAabR1vGgW21XYmkNJFEd2PjDaPahJhfzZ0LD7GfLkNXLpBl7EIfbG8GqpG1ATLmX/Lne
oDMWxLtDoJ8DkP+PQUzWHc5Z2/2U1lLfuRK3xgp/iuNEqEm5uq3L8fKE6LJ1zPNaUkhHsMFISfPT
thkeWjoBQ5SkYhzfu0Y5/Z5MtbHXQbyzVyUwR4qlqPg0jq736sWmUPPhkrM9t/LJXmLjEJf5/ISc
wx5FHr4S/9m1Z+cRxQUoWXPKNlvZCEMOCyz5uTw3lZTV+1qT+RgmvQO7L3QHQAHPgMfW/JAYRt8/
Kaa2F5l9amu/Fgrf/LFFWbM820E5fJQoextNNLmrXtbhZFd5fxj8eM2OXpClgplFqAF+coGqMB6q
CPuKBDXFij75WdVFKtiN1jlhTNhoa+KhSuvyWfC4+w9ibvtfpkRD/NNlNFYpkz98O4VLk1nlgpaG
h55aRXjohbZsx6guHHTZewE7LCon1zv07vJXK5z6Ha1MT3ww7MywznUl85dq8ObHwCnspx596fwQ
N/qDB1qhPzqLyMfIW4c+CGscR49UaEy1Vm8sI2/58Z3/oSsa2UVl0CZgnS3kavyo1wLv2bEWXn9j
WC6lZU6M+hgX7Z9ukMTpCXMNvkxtF8eMpDKCl8ofHrLJPSdT0rehD+rwl26wyO/8Va5WhEQJhYq1
TU9Q/D3kZWGjuSHCl1+q2ECL0tRFGLuTc/QJGedwbSp9Ocy1P4cL5KYngqjmkHkJ18RHqTaMYxcF
qzlfxmio3QcLmfKwtyv94POMapHjyzIDR2Gm8deRf/DFXlq0a/tuEXY4BkC8I6aXpflRdGM/Pvtu
xfA5tG5Rl5ZiDbzHwhwYWeWCtB1OWbKW3cESVtsch6pNjEeqTPFvtj6n3YGPM3KDq3Gc+akp1Ngw
7Z26iXpb14an0Uiq5UFfyrXf8V43d8v3aIhQHiQOhmiwfVnX0ZmbRbPn89L7Ka0ncAe/mDnSH+Hk
6f3H173yzdvKe6pEv9WYS4UaVI/SDxXeIG0Mc7JH+6xRtTw6+fi5YFjQziNzEwmjAAVOjxoybRiE
UzeZd+IuCoSb+/jjrB+OFqWZJFrttWdLa+H/pC9+HUe+LTu+daOJ6oOGePYeV0Jt5cqNqF8RqO26
asDrttlQ+zUjHsbCP0MNpsOd6PT8gq5/5zS5+7wE6Xh4/Whvv6PSUlSDiRglgOvavOfTNA6Zlo0+
JZO+9Q9eMmdfU3R9mwOF9van1xe7/Y4kikBxyElpmDLu5vo76u3Q6ikVnDPKOkg55257mKv6baRO
EkHoP0oWEylw1uEtv16FWjLz/3AY577OA1xZm/Tp0Zviak+u4ObsIJ6RCRrAYRQTecvStepCxjHa
3GdkStBeKGyRfJLS6v4enDn78PrR3VlL6RER+gEYh1i32dTi1DKVmW+dOxNBjYiZYb37tOQFU++8
uDL3RoxuiE7fDhFNIsgwquZKuLC5Ddqk6kblSEkxaeRISVEGcaiLcpzeB3E614clL4OfgZhk2aPZ
mtS8ndUv5bNTOnI4dFMr3Xd1Qsz2vGplvceovYmdAHDR74OZoLJWDub6E/tdIjoefufsUww+NomR
vus6Ha6Vo9UUfGaveVd2FuDU1z/CzeVUeT8GrJBC3/Bk18vO9M4S01zd8zKn3qnsgmL6LZnbAvGN
Jpb1kVx+fWtPnbhFVTOAyKFHemPMDE+K+3xMavysFPGDsD3tmb6/vzcI9SZWIzyCUI9lBfTu6ZVc
b220q9SXaHucy8qIjxmMtTCf5F9BI4KPnrUEB6eO7Z+SatrrFd74BMX9Zpg1YTD1B3zR9cJWDsJ8
yho1o8V2z/0w5c+l1r659qiYD4pa/l3NfVugGp3M74w4D84wfk3s2Bk+eWMbv6zAi3c86q1twkaA
0WEAUwJSv2V7B+XYD2gjBiSCovh5HD3/lFaD/9D6U3/wBj3+2xXO17caJoAalbGAygZ3uEWIjsOQ
NQsdorNtMVOObKkwiNgMr2Ce0aItp1Tryj2m2o3FUF2lKQ7WQyX3WM71h2OAdV+hjx+cHcNoPg/r
7D0y6bWMgN8AsHeTonhsRSH+bJirtxN83LEZlqYNhEgUjMJt6lS2E4VYaQdnxouax4yI9RiI2fov
q9BRo9rHiaLCcL1BY/WyXu+d4FxSuA4nBu+GfeC++QHmGPluQGGhsFAe39j/rMtBaIMWnBlpWsMy
Z+gnckFMfEKUYccy7x0bC5CeUB1Fo3fz/HrNHMjVzfxzX+bGn9QWm3dVVab/vG6L9+wCwjeuGVQq
mokqzvohWPPSuh7WQNk/NfD1iwfv97219tX0pVhSv480xPyqB1ggGgMzNKP88vry9zaJn+UaqEgK
13K9/NLUaFCOScBDCVG7L9H20tdxT2DxJljkq+FSFAeIs7whbhVLs06zZvvnAvFF++CmXg92TqzM
LB4LPcjDLLGNP61maFd6lXAOQAmIaQ9lc+dXgEqBj+RQdTfY8fVeicHrWiPNOvejRGnLHOfq/aiv
C9MU7Cm4WP2YBmGRm+t6gHmbmp/tMtX2BDLvHDganEB8yJgwra3khKHVeIexD87BklVHO46bI52R
PZbX7dNLV4xKAhgcUCU3dWot9qbG7Hwuoy8R3Y+b3+vYyELDqn83Fu/tD71aDf+NBh2efBuoLhnS
/gtUqbObSv3FcazkEZDu8GJ1Rfbg2XG+42puozvadwAhiGZoPgf2JrprRJJSdsvjMzQkOxSp71zy
KQtCr3PXnQLet4r+VYYBG0MFxuD8UfsB3nptNMms5xaNr/TSz/7K3GfezCa0K4D3ISN0rJ9mT8TF
g7um5j+ydpPmvRukfhZqvVF8LlJTyii13D45SGNq5Oe6En37SV8FkXY6wahFpNpfvIOeBInzvuF4
5/dGXVYJqhbe/IWwDhZiKasxP8ikqvXLWA5+zfTpmBYdgqjJeBjdvpWPzB9J5tCaes87mJK7HMq2
G16mQUvsyPDWHG5aMCb5B3usPHAxTudmJ6aswdc20F4bDhLMJGIDZWzZx6mfq6+Fl6MosyadJbmk
tqyjQDOc32SbuVU4BYPdHnSRUjfljuQM37PctQ7bwE3GEKvHOSPjOi/PU+WNKEA0RGbR667r1nN+
E22h6kh4y59NLiaZjAgUHbKRn+iXyZNm5KIZTJHHYIZ0jpTvBwXMeUcTu94pK9+JWUD/UihDDAL9
3q2+CsEuINGG29XEZJ3NwGheWpO6eDeO2XgUvrV+MGLhJzvx9B3XAY6BpgvMXlUz25i9QOLHn9JB
O+tdkHWfdGdishuKK1q5E0XfniyQLRwHeb2jGsKbk23bZkoNuJuX1I/bn8sWOfKDMzHG/RGpbl8w
D5me5RA6ld96P0nfn9qdUuidnZL2wixWxH4KJ5tmNANXPOm1TBZ3xzH/VC+6fWTWurvzGe+tAk2I
NXCQSoLx+mrPwnU7JGri87TYyTFL5yyybcYRvm6md5wVhBPV6yD2oguxiViCoCVh6Y343MuumkLT
K+Co6/qcRFpbZTtMhlvL5AlnP5Aa0R8Ac3e9pSKr7Kmty+SCDvN4kSX6ZXLGJovSSp8oQNW/Fcxj
f3x9h7fnaAKJIN8CToVpbrOFbp0RLpN+cjHIJ6NgYHC8xFYPr69ye44AWRhZSmVLaYpsy9OCDkMn
Uze5ZF1iPNml3/8a0NsIU3N64zhMlc4r1DjNZNj8FCu2qhIUnhOQRijC22KN0Ob96ixaHwEvenKp
Yh18befC3d0bTRvAnzyhCDlcf7YMFcc0jkV6CSZfT0Im1xQRXUL7U9ASRr9+jrehAU+ZkjJS2jkA
JjdWzywqjWFibXJxBo8Wyjr/lrfGX7HLqChYWHJntW9w0uv3k8qXGj6NojLVrG1sMHtJ7jZdrJ0n
vzWYEKXS5rPryETnscg0/feY4a3iXTrFqYgS4EpM+gZUVp9kPAd62KeFYSMO7DjDcaDn8ntM+9k4
DBOqHgdZD74WufZSv41F+80AEFKkgMRRkattezEuc3g9q2/ds2fF05kO+1854KnnzCx24u9bV0vF
CK4C3lyJ/twUqgKeRzRy3PMAZMENG/pKPxMkzFOUar71XnZiPM/MBPzQ2mm/kwZfrw3sRGnbIrys
dEMQbtvSao1yLLUuyYsTQ1v08pe25Bw/a3mQI1xSdNTGS6mttCjkWqVfhiZv9pj0147j3x+AWIWq
3iLAs31nUD1AD2sZi1PtLy74gb55sav6bVzG76uAtcH9KpAuaO7ry8UYb2Fn+VqekA/+YjOe8kFa
2l45/N5WCHwxcdwTmJ5NGmcJAgWnNqFdN4CfIisGDex4flwfX7+9157i/zbDKlxfYu5t36y20FFK
FwIzofdFNJuLeRYZVLw+a8VOlH13SwAgVKpETrJNl1Cy0by0n8pT4hHIh3ldMziXseh18qb34989
+UQaKjcj3958oHkhBrZzqLR93cZHLamSd4xYlj+9fnL3tsN8QpUQ4WdvfDqo4GJhqgTUagDp0ZDm
zUNleXuCpXdXgTlLjQLmMznPtbGhDdRXlg51PJNl+uIkDMRBf3+a+h2/eu3Fv58ZtW2DaZDAuIBt
XK/TMq+KuF2vTsjr9YdSt1t5yGy7SaNkbpArWWxEMXcC7nt7A5qCxCwwZjan/MkPpQqbjsckGiQi
eg1S8Dxm01Fkwt6Jl+6ugvSjanrwRG0TrtnJkItHq+ZEqac7aCZ6IVNl7JXE7yh/MU0QVVnYSqRs
kJyvN7Naop5Ger8nxoJdFq9cIs0OUL2ffjGT4aM29GeoyM+15TyuyyKizsqDnU94d6O89lg+eQQl
6+tfkPdzb5X5Wp0sqxyOckVMZEi1Pbz7PYdB2IkQGw0eSo/q73/4aOUK3ysoiupUsOGHZmz6l6ZF
trd2871REPc2xNVSfOdv2jmbe+yYc07e0lWnfGrccOxcDwRn8mbNTl4tQgmFBAE8xAt2vaHOHJd8
kS2W3wvfIbuOs+GlTpYxPmuLU/39dq9hK/AHLpfltg3GRegCQbUK9RW4YGEjs+7SVNZyen2Vux/p
f6ts2UwU+5vesNF4ae1aPqwGxLyCpljkjvPem3udIXx3HNTilJIhNRR7O9yUQbEofNlFfTKlZ7yU
WTvMYQ05kiZt7Ic1Ynm/cC32FEnvrUrZi4RSwQbJua4/WrFYYs2EVp2AMZTiOMxD3n+E3bp+ctcy
+GMBhdeFM4zIt/VQv29XAagh8ZHiEWRcL8wyQuOj8f3yAkg/WshUMxxv2Bt9ds/2EcNGDYFVQNBt
rDJIxTrMHnPNujZbDoVI+iMTs8YdD3zXa+EuKD2oxhMt6OvtUKMSmmfJ+qTlpfFhtEV1jEurjdqg
dz9qZbIA75j0pwJ8/u92iiBRvcrlNPjD27g7/57rDz9k4z6tVG8ZlIJiVbnI35JkKkMt0H4WWvd5
EFMDRmr+9PoVuXfAkCaIxVXfi8lQ1zvHGcgcA6pPdtOmh6knXXH63STz7iow5okTqVPftNzjLG3d
xsBOEdGbGXomfteLIPsPtx0KyP9fZGOTLhMU3LxK6pNDI/g42UsfGWilPHae0b5dT4axj8CrWA4g
4BYKwnCeLKNUVZ8sVwt+hX4iQsuM8x0nuWl/f7eGH5dR1/+HRyax27gxCm6ZHKcvxupGlW/+EujZ
H4Bbjq2WXIZ+fJ/OQxjDEims6VBp/9TunnjOPS9KhVY95kRfBHrXv8LVFhO4eU18skzxOQ9k/WRI
0TyPcnB3zlWZ9/+y2u8bVnh2snVSNyDK10vpY+1o1NDKU2EN/+gQQ8Jcl09GNX/K2zTfufV3F1MA
ArpegAy22iWGO/tV2qXVaYUolCNugDbG06R5axXJPDPlY06v5L/EDcSXzMqhasXI1E2w53XSH7pm
UeJO6wogbDbpDi3JMZn0aec+3Lt06jVnHp8OBXorXZIOhdmAE6LQPTc9o8HWeuwix6um9OF1H3LP
QGjcq2hLFf22e1pcSAKFk1enmZjhp96erGMx1HW0WMteB/3unoCtk9yroSpbRx23npky3Kg6DYOX
hFaVaA/OWjg7ddJ7G+Jto4Sp2ro86tdm2KUBQg1mX52ooVQnOc9plMmxO9It3FO0ub8UosGKYgG6
YvPA5fUyFDVAPzT228oOEwpTc5TIFgiiOdvIXb7+qe6cH4em9JUUmI2DvN6ZLtASsPyxOtkixucv
5hL5k73upLh3NqWwFAQlCshwg5QzpnXyfCQ2EJQEZB8641Q3T/1YW2akd7PYu8jqR2+8BupDKDyj
BUeRYIsSmmXqlNkKW2MVSaG9Q3GPHkEKOKeJ3Da2ipe6CVyFA/DcDiIl7d+dm3ZvvwplAZoMbDit
uutTTRxmROamlZ90FIg+DN0yP2Wa5z+aRF5vf69JBDBJZL+o/m0JqJUxa6bG5KhT6xhl+tRWTv0Z
35HuaaTc2RK9EChblLB8aKjW9ZYmpy8tTxjFifaEcfQaPz75nWuB60325nDfsUmWUvO+1QhFuhPX
SxXG4lKYtYvTbDrsSM7lYx3Mbx64A1kTeyTAI1AGhLO506Xp1vbcsUpeNGUkhYWOjlcNhzffL1ZR
0/SoACJvsbnO9jh3wLPVKsxW+MpgtzJyROz98/oq9z4Oo0J5QMC9kGtv7C0f3VEfNKTY4jLIf0H+
1rfCwuzGp0Jbkp9eX0ud/uZyEbQRG7IO7JEtymUhnhunKStO0umbS1p15Lg1X/KhDWR8HAxSQ3pN
jCJ+fdk7W1QMAR5m4nLkVDcHOVHz1oNMoO5Y5FPU500eVdaEPrI174HONrzBb1EHXTH1xRRrj//5
2gBbSJi9zOOCJMP4E7IDwPXG/SKrDp5m6YUrQp0vRmTvPDJ3zJ7yLCACThXnvx3RHowIyIzLTHmu
kt7D6mrm0bU67+0RFRMrlKoTTRDIl5vLBVSXWrXsilPmrSLU11o1mdenbKKAZpXxf7jLaJgByIIo
g9Vsi8Le6EmFmBQnPfXrD17p2llUUmp7myLO90+GTX5Tzw7AEG3esQn5c99mTiM6pjTGmSRQP6H+
POz49Xuf6MdVNlVHTbfnJGC61ElvauvRp5V0tlwxvalf+u9eqJV9mxwADHHzicq0b8reqXC1Dbm0
6JcmzJyx3/FM9y6Uqsj93yqbE5PuzE83CnzGqCT6stqN8nkqj2ay7rXCbo8NV6GAcTz9qvS8eTvk
UmW6V7gW8zdnKvdJ632qrNn/+rqHuLcKwA06HCoOhER0fWsbOSDxMPXmKSkxAZD//THLsz0/dMc5
oFWEWJgamIyQ9LY/WnXjJCYtM04oVYWVtnxwi+phGbohzPTmJMwcxpl47N3yxCyGnWhNOZ5r3wvs
WSlFKtF7koat/SVpzXwUhqYWmu+ND2KwxCer1JjQith69RyXInF2zOTOqarBFRQ1eSNp1G7MxLRH
0q+EJf0xGB7LUqA/sabDToC4ocUrm6dmxYvMxlC1urF5JPsSGChZewranBEQgYrKoiIZe3H6f5yd
2Y7cxtKtn4gA5+GWNVe3WlJLsiXdELK1zXme+fT/l+0DnCaLKKIMC/CVFJXMyMwY1loR+GkW7Gm1
JtVpACMcnZqobQX3pIWNYvRaErlI7EijKwdD0lzzRNGkc9DlwCP1Ro2rs96PxENMAYLsE1pxVz1F
oVz+CvMx/6dTxiLd+9LA34dd79Uu8W817oIqCwI3pXQR72BSJ/URznoVH+pci/8uDOZ6bEAKFh3c
t09AogvXmE4lCsbLimFL6NZSvqPUQ7cu2gU5YmgXqTQapk41je/vgfb4/a6c+vBjoxV5s+v7afqK
VqSp7AkLfEY/KD26gJGWxc2+LttWcylB+soTKHDUCdVUa/QNj7y9RSDc8JiIaABNIEO4z7uKhC7l
Wuh7COaVo2w91UEfuhDNgiOaa/GGqVtPxJRgl7IWunLL0p/RMKUka7T8ZGllsU/aqUX4MK023sd1
K/QqkDxDl2fZ+EvyXiqGSspPZtIUJ3obzUsAbWwjmlm1gjYYaR5TQHm35p/N6TqSudDOTwkzo5/R
QjGPyBF7D8Ed/p9HwRmjVoMuPHs0t6JFhexUE2vJYiqWeZ4FO3rMkwsZItrfv3xvo0I2B7QnFzzp
Du2HuanELrOynfLiFDZJ9aEbZOVLXUXtwTf68QTGXduFYZ1thKLiH51fhxiljkH3inflhpVUpOWo
IntcnLp+UL+YPM7nus79l9TyHdeXpfrY5vQgHUsyzveXu1IgFpr+XMEW+t+A3MUGv/P70rFqyWMq
3Un1kgQhjhp9lx3tb2opfVPW33XDM36kASfm3HdyE8Kj8yLzMExyacGCK/ItVunt08APguoNxIDA
jvr4/Ac1uhUMNOLyk1INTL9MHY9hNkrWfKNQlhz7Ihl+3v8EWwYXOYcMkkaNMpwLSdLPbZcZH32v
714R7hxffG9rONSqNWi7NuRy/ExdPu6qZ1RVy/KCOGvgIhvtZ13OzK+d3B68pG839nftfALtwp9F
J5s22/xrKpMeZFnAtWZ3ufdnjR76ro/DbiNiWbs8CYrAKAsdMLr/cytyNGq2J3PNKHQJD+EQS1/g
C9QfxkHyvz++WwzKlQn4kE+7ASp7YaEzOMHGFDD+305lZ2cpkB2XD26f7MHfIuSvLY1eHgxnipq8
Zovz4ZTMnir9EiHV1Ew+FJ6l7rIk1w6KHBkbscOaawhsDcVTgjLgWvOvKIVeJxk2tfeArkbLIIXJ
GU4oQzuDWzid5V/RCnGijdd6zUGoRxOuiLEsYOXmRgNPUuMmpb2Xal1du1VqVcVTL8tj9vXxjSPI
4EqFw82xXhwzKR37sY3T4mRLXgpB2ve/GoGc7CUGvR8kJZk2Frb2NYEX8pzbb022xcZF01R6Haqi
p4pa6i6lS1TuMsXM93C6oXoyBX1retmtRV5z/FLQPyj7LFlzwQh8mZHcuGbW1K5XOqPLqMG/W3P8
1jIEbCOKWLOGIg8Xt2rxyN+0tYcScc6+Lk/dpGbRzqoGY985o/XbkGL72xBJ5qf7G3h7EvAO0bAE
pQKk+A34/u6lKLy84EtG1UmrJf2gw915rWHS7AMGt367b2ptbQyoYlAX7CDos4v7xNRqnSvZKE4F
6KgvXjI00Mc9Wc9Bw/rOxYqjKn04kAG7DLZNTJ0Dk2CK1b9bXVlNlhyWbJ4pxeHBGPR4Pw1oRd9f
2No3pK5FrQ6FCIqCCytE8swFjIbi5CPt0J2kfhh/paVkT3tP06KNDbs92oCwRO+T7aLWvzzamZEm
XUf3E36cZ+28IB/2lRMHD8eZcyuLc2ZB4agiKS9PGtO395keavtIyHbe/3C3YRlWdN1ki2BtUw6f
b8+gT2FVDgPerpXRJR5V5c9WQaOzN6r8M8qPVQ/oxxs27pDVL8hYMXqhyD/eAM0CRBlkKcnKk5+j
3uMqnWG2OwM1vMdYaiLAZXnvDC2u/lzztVhv0vKUNl5yzWtDOrRh3v0Ba8Le+JK3sSamyAiIsGAi
AMGef0kLRRnD6FALM0YlSA95XCi7Qan1faZI9GZ0u7WP0Dfik9Wl00Y0srqL6NOR/POHDsrcttkx
MkTzo5KR48Yl1eT/+YUUucPYnMoqOoZ+/+u+16zu3zt7i8cNcqgzhSX2TK9o97odjgg2eluaAqtW
qCsIoQbk95YvW5fl/GexeR2AfaZJo/fb+ppyvL+WtasDFAMbBlaKzu7ynIWTqiWFXpyyrIUupQZc
VbA0v1TUxb7cN7W2oPemFrcUSin5mJq4SJv6kbHTQG60u7TUva//wQ5cb6JhIizQqXN3UIzKAsfU
lqeExPwHAEvkM9HQCtTDfTtrzwmhhxhjJlrTSw6ohOZQlOpcUXJejn9L7ZhQu0ts6ixmaZ2katS2
rqu1zSKioMvE5AtEqxbXla+YfdKpuATCNMFZyyrjrOf+8KTWqvH68OLouCPHwj0vqsaLfAk5XI2h
UEN1yvWiYSaq3NXPRasghUOfufm7zL3m8V4rjTNSMxCrKFsSi8/3rZXDhB4RuL00Hcxf2Ti0vmvr
Uralg7tSoiScArEnYkZSoWUyjro+N5E+ZCcpbp1XpTDDQ2WH5ZMul94zWAP7j7guo6M+mPYJ2J3z
B7SL0Nq4MFf2klIAuTEVDvKoZXLja9oIvhXYpZkA6QxaKT+OaC5C2fOsYYs9yJebFwJY8P+3ZS02
M/PMyMpDhS/ba9JuBOdPHNnku6licuF9v1ld1lvnRKCOAZvPN1HL0tqKUXU8Ia7TnCujqS+qH3rf
vKCINla1cp+gcy3a2NyPhOSL0F/LJ8ZFoJN5akOG0amWl78OhRM83G1g0ug7K4vHJWR6pYUMr5iJ
GJnnwcqH75nU2RvHbXUt+CKtIFD7cH7mn22YLJQ4Y9ZiWF3vlranHVqr6DeC+zXPFxqu1MhFOnGj
cqCnbE2h4nR6134dDan6rNLcpfcQuK3ZX8uqP/YKA0sVU9pNWtVsPNQrq8Q8WCXCfJDpy8emqtNq
bGr8UEq6sBbT2J29joDSlhD6ys1MRAfZQuQUSAEs7kkogoUpJI5P4L+Ck2NP5SGpZdsFOa5dvCp5
fIyZGM1A4wa5QiSEl/C2vqPIjNpCBm5biX8NkSO/yuNk7e8frbWv997K4l2TvcaqKtPLTkEHW7uF
x7tr0uqfx40g2Ae/jcoOfdbFoWqTQTJy38pOaumpz5ncmQecIXk8uifkgLMqJBFRvlhYKdO+i5KM
q14BifLUJU3wbLSDuRFwiAdjce0BNWdLSL4oJquLfM9DhjWkoAi2HqLEX3EUdd8VNXF+do1fVq8W
mk3ork2x/URk2zun+x9yzQfRPQfiRceCrHPhg57eWUYfQSBLHO0pmzx/V2TDi6q23/OaSOG+sTXX
EGrJQMTp7lEzm18flpFFQPNApYZpXDylvqlfsxrC8eNvllBIMXinbSqpy2YXzKmuCDqGtipZMP7s
K0nflXIS7wM5dB7PkSgbiaHoxHAUPRbBgON0bVzLOHs++elP6D/KJTXMx6dvUpwCQwPcj1WRucy/
m5QaSRolGn7YqNKz11fGvk877SVt7S1tprUtomQkhnshPQUYZW6qLBTKiBqmkCJn6kmfTky/2YwQ
hUsvXZ7dgeVFKCVTyJlbCTw44IHnZJDMEBsanHDXoQtY1N5H06r+R1YduXR/NdcZk8ehDHxLXEAh
tBK1o8W3dBjDqQQFO1bUdbWrlE79KbV+unGmVz/jOyuLz+hPqJMkFQtMBiMKUN/Xwyc9Sv2N6v3q
dyQ8BKYpridj8R5n5QgwoGCOb5AVPfACeazcPin8Yxi0wyddCoIXk47NNXE64kbdbO3D/RO9cneJ
cj7Vdb6oRk16vpGN2SojY4zoksehIzS5okMnS/LnkWkKH7IwCQ62lVsn/rKzxe8X//TCh8CkUNh+
m4eBPNHcdBBaSVBLwFMbx6peVEhj31NlMH7modk+fm9xO4JgBhVOb3cJZaskoywbKQQzCg//ELZq
/iJHqvnt/rdc8ZmZlcVdUvtMalBiQLBTUcVPvlz6xtl0CvTd/4MdLl/uKyhdoLjmH85pw66OS1aT
9kbjapA+mOQwBuNWrWVtg2hZgr9iiwB7LU5aUchIXNLoObVNfkDURj/YffRnUeaPo4Zo8xJyCMQQ
sJGlWJSiTgrOgKEwQP4vqMuPnuJYGwH22moQsUCTByaQgEPPv5pNGBC2E5RVDRV4vSmQlp3MYJ+i
xfz7/v6IAGnp2MRn6F9SBCb5W+wPSsudmtcKlspu57WwjXZaLmuHGCWudpcoNlomdlYMl/tm19yP
2qzAMSJpDRBjvkDGEbXcJaEY8TyYrq0U8V5njvDucStQprivBMmOVtbcSjI5MdpMoNeNKI12pab2
x9DajADW1kI5CjytyigqShELKy3YFK1s0pPN0GXXYrTap17z440C28rtK5TWUdzg6kMBbrGWxkyK
AkwHVhyGg0ljIxsHA3Lwdz9uc/SHS/ubZPjxzgh8Ca3YMlI2PuaKT1LYRlcFMC842+Xty3g1hYwc
QPs0wTVIWzhwzOZGNrVE6eHhfZuZWsSJzFyLUJWFAAr3z0KJ1vql8YL/JyNglFSeM3HfzretTfUi
aegWnVAOKMGy17862TfP/2ElltBSJwalaLnwjUKp1bRH1+GUMdDm5PS8FgpR/uG+lbWtQfdUSIRC
AuaZmi9FSzVGcEd8rzpBich1wkbadSgeo8ch9d/u21rxdh5fwTsXUtQ3aUqolXrdK6TLTVPSV3QE
vQxlzS//wQpNdGaFAeAFrTFfUSmNVQEYA2frI9tyFb1MTvEoT3/dN7NyqAD+kX0DAYS8sxTGkxt9
KKKwI9aNmvHTNAZmW7pV3ENY1XOzqt0Ulddx77Q1EwXiIGifutbrwy0NtrVvyk1I1wPpMZDlSy+p
iynIew9Jp8H/a4xC5cVWwnQjv1xbKx1TrkEYm6DlFp80rWXwjRoPl9NqgZsNnb3zre4P1Ds+B6r2
zMyjD12jNm6sTBso5TX35CXjoLE+UDeLWKOHRN0pacpxLgxrTzomH/wmBwOOquLGSVhd5Bvgm54L
uOjFIiH4T4ViwsdCb/p3mQz7vGbksuV43ydrOkrhwHh47UeqJxunYiU0fetJ0DAgv6UUPffXpvX8
Mo4hnXlZXaa70vCnH1qp1l/sSqqsL0EjR+YxhKRTHSgmjNPG47D6hXlGhSiTKP4tlo0YiIScupOe
YJeYLtBLqdvJStIdDBAoW6PBxVoWIQMfVsh60dsiOFncNiGjuktLIxZWQtnYm3KmVXCOOs31dVJ7
Cz2Yrer02vkQx0MUDki1l3CN0dMZttTjukMu5BpGyej2KSNHGvf+dbBqh2TNIv7mQV9+RihorTRK
dnrqFCf7kpod8sRgFR+v0VpgwMiAyLKRAV9slt4WGssB7JuH0Pckoyie/WhQNk7C2lrEmSMY5r0m
Wp17JGrfQa42uEQuyfE+CQv/ZOux9Xr/i6053nsr4le86+UzMoM2e6elJ6d2ot95gfiE4/j+z8Tr
5cfzImRvKR8B+2UM1nLgp5FKbUEdl81BonHfl4W/nwDsPp6vWMBSGYVMEwT6mVjwuwXJnp3kmcFn
o6Mb/zaL1GOsqK397/5nWztCdDJg+vPndnYFVY+A2cpcFwBnfkKwfFW62tklldS50bCFhFgJ8VkS
pTBDBFU3qh0wAmQ7Qc/iNHb1S8DIww9Sao6feRDNLzAFAHlo3e7++tbcgroH2idibioh1vwrpn1h
SeiEZSc6WuUOGSED+SRlYpyAv6VitbY6KhKg4RyxymXHI1Bi5BUllcclbNsvocKIY4YgGP6h9ibv
zwaZ/ANqIg+fLlwQGAGTugQOD77PfIFT1A1Bb9XZ2bLr4qMWMyQzZ6T54f5nvDnDWCFrdoQ6yBtG
dm6FklIlj62enltbG5IXteib6ZNlesmW8unNfmEIZATHigwGPtii9ix1YMDrEJ1jSHQVPFU9cJvQ
yd0orrdej5U1CYwHZAiwsEQ7i3upDiW1j0w7OUde69iuTFgiBpiqj54wiqRvbHPGsVpkS8Jt3p9j
xQDvXgbxGdcJrllveD+GqKl3PsPcGAuvmMX+/l7dfkIqU8Q3AD/hnGnLTxi09WAMbRmdjSCoXh1J
7v/2yr69wH5wNjDat0hims/AmsTsY2JW0vb54jJjbDpG6UZnZYDpqw1G/9RF6vixG+X2R5Vr9kGW
WmRsu75+yoomPud1Fn7ygSltLPp2M7kqkbsUSjns5bJn0aVG7RlpyqL7tLnKTZwfwyhSNqzcHHEq
+GQBglICYw/4wny5XTCgxF/Y4bmSVQmJkMF+7Z1u3Pnh1P5VDfL4Ke8nxp7c39C1tXG0ARoCwRPF
q7lVGykSagdjeJbbsfrSavLwWlFl/vS4FVbHHFAQ2Lf1F6mPeHEMPTyXiKHt4rJp3ZKixcYXvHlv
+IIifkJKjgMOy36xFjMtFL83wnPcW+mnSkM8lPE4gZ4AeS/7/xk6ENH761LXPp9BXo3gFup5OOrc
ZJh2LTNXiug8qbES/uFIVdy5plJp2keJyvF0tqdCS5keY6TTrrU6+9egM09nTz9F9g5yEVfNk0rf
XzppbLG+q9Kmjd3J64bEbbkV1ZaCfZSnH+XWjuTS7dUxk754utN4L0rv9IwvQwjYvCqIkoeHyAu7
6nJ/ibcnngiOFon4npQClzcZ6Xg1yVognSQz6PMd6jLxL4c5rUBuraj+cd/YTYIh4h4OmMiF0T5c
pvhBrxU+qU2EEklRHBlCVDxNmV19tPO6e9YTT/49AgSjZuxsDe++3UgD6AlzVf7VxV7iAc1eKaLa
lMOzIiX2wawzACBRtTUi8vaMk5qS7zOEh8uTBHXuLkZsl6ZSm5xx35maJ5JElYFPUBhLF3C/wlgx
y2njc2kmIOnuf9qbBZIz0dbgDHL+OB2LfCbVkLR1PMk/O5LpyW7cSeo+6XlsHw2KEMwFYysiMOjd
MNfmSwwHKTSNagrPWhfbnygXFcxtDW312HQNGKL7i7o58RijkiCoHRB34STMjZVCza/Q2vAsDcrf
k9RA6xqVl96RPk5SteGbNwcBW+hwkssQQGhYm9uqnKnNpdwMzrnqVYcm8cwzV3P55IF+3AjPb9yE
0ifAICQFaOQRey3cxMvRoU2bhItsjJToQ92HhvHax6r9K7O6INhVreRPLjO80o3e68oaqV/AvSI1
BDC8NAxiWU0HPQjPXd0pO7Pinu4aO94N9rAlRbHij2i6cBR4dQyImwt/rIY+oPXAUbAjpO/quKhc
jyGwG16/tiD8ngyeNq+ogM03DbU53Z78ODrDTQ0OCTO8d4MmR4cpzrfQ+rcL4qPBUyd3I/CjETs3
1UvTlDvoOJ+LdOgO02grr4lTbUEcbxdE9I8iMOko/4M3PLeSmqU/VXagnpImjv9igrz/4mhF9M1H
kXvjJN96Iab+HYrCdQGzd24qI84rZCNVeZqMr2nlX4s2fM0y5Wc5Zi91VTx8vnQB6BK3v5jVu4RN
yCHVXVgNyqkIGvvstcO0iwy1uCZe/jDDm7lkqNaQTukQ/VHFnq+sAviH2jGm5Mz6OtnxdAFrHjNI
uwlO9y+ole2Cb0BbRmQBXIuLb9jCzIKXrCinZEy13agX7c4sTPlkW+Cs7pu6vQtJOPBAtHRRWIEK
Nl9UVo1Jb9qI1+Y+oxpbSDBKEv9tR9K+oguwYWzF2bluBb2BmFjRl7VcU/NVuQZQdqplS/soMwD4
uZHz8XB/SatWSNCh/JJ9or09X5ICjraA06OcGiYZvoRo5BzkINrKclf3CAQ0oaNQpVkCTgr42x2l
ZOXkZPCHXDi7lPpKxwv/Lkuz3uqsrlsTgmhArHhPFtvEsB3IX4WloLTYWztmU1fHyXCKY1I8riVH
CkrMRmCDsC2V4oWb15qeSSGwlJMdVMZTWGbRORurh9WNhRWRGCGYCutgKTBRh44dO5HB52PCxIUZ
Q+3Rm8pqI4O4vYxwM/DBkFoBC5B9zl0h8MrBZvyoCjtJiBzKqZzWx8ky0mfVGzLF7VJYZ64nW9G4
4eq3G2bQ2QIObVAMQ795kSGhgSSFUaUjYhgxpSZFpMFtBse+BlOxpTB/6+9Cgh0CFjkSfK8l0V0a
Bs9q9QFecEV/X7EbY6fY42Mz5qmA8BKC10EWifoEkjiLTwnkU6aO7Yyn1E961wqbwk3ScWvqwNpa
aIOIrVLFsL2FlSJIp9FogwkaT9DvSPDVfdHYW7Wjm4QBAjhwCwRfGd8lUr+5W0iFZDt1MgxQJXTt
yfYy8x+9VYpDZufhj2qa7H0dONn3JG+2OAC3bsGNAU8dqCnxEvnR3LIs95CY4b2cGHRQMf3EnwjL
rPKQFtHDiCBxOfFWcUOhE0KGNDeVeJXVB1DhT7UNJRZurmG79MeTy1jX5W4KW+sofky6a4ZI+f7o
FQxCjiidYFQMG1nm1LqaT2i/hSYPmOL9DuFN7Xy1KX8/bEUIXQh9dPQ7EF+Zr9CSI6vzstZAcooB
C27AZMJvTVToW62PlU0TE/NMIUcp+NKLByVx0igoU187ZXUgH2C/dvtqHNN9CLbn8NCSeB0FGg+k
tbg9xMsyX5LU5qMv6wE6iVbgTe6odb6/Y0rtVhF6cc7+tcNQKwZuiLOwrNHGFVdvDpjqoo2MIlCC
QD8EsCg2LsHF9fuvFTFFhDIjY7ZvJGTyaRqCCCtVFrV/w+uy4lPk+V21l1N1/Ic5H7F2CUfbSDcM
ry7vneHFAfd5XsAEmcWlQM3tS0Ip5CvTbh5ESbwtT8ePRetFKOgLv3lXR80b2NeDkZWXzCKZy5rU
OQeVNP563CXeW1msRbLKIq/TtLwYejt9CHLb+RQhofHYMCyEH/A8MGLUUABwcUEtzKi9l0/NGJeX
KOiezab/krGyndG2kzsUD84E+tcaLyNtaCJcIDMLa7afeFPUpM0FxqM+7MGjFQnjeSZ5i1C75oJE
t9yE2KKKsTi74LcazcrjBpHTGiBVJqEbQdsvH8bPQVt22QfZC/zioGWqPp7vb5xYw7tesPiiBhAu
QAW0X4A/LS7gXO9inSpcy7Bs4Em7TgYacrSGFHnlqvE04684TXoQXvetriwYZ4QzIUanUhheZMi5
qZSTwZNySRjM7saG6Z0sIoTQJVKUd55SRk+2pNePjeN921AgWJqm4EViJMLC7DQwrLVPJsyqUq+6
Te6ET2kwqa/3V7dysCFt4p20l9hSeWHGaTNGlYZBdTG82mvdqSYm+RaEo7+lhbJqCBApBXwkqyk3
zM82wk+Z3oUmZ7uzQnfwkcaTuuHBsQvCRcS0O5RChTYG7/XcSjUWKkWZuLpoav48SFZ7NpTJO93/
ZotoByPQ88UNwimgXL882XFrqV451uVlMJr4ySrqv9qypN7s2+mTnahT8cnzPSPYJ5mab2nr354B
QHkk6FQ24IjwTs8XmDtqzSi3qbhERV+/FkWSMbtH6Uck/yyL+QSGX+cPdj3f1ivwmgLyQXS3zNMN
M5Wtnik4Fz0nENmVFPNfixTqy6FI+vGiW4wupvfZ/HX/M68t1UYSg66PwIwai9CukpoQSolaXRQa
19VJHkaQo6lOGIbgQxKqbpvl+rhxHm5PO4AWUhyeHzGHdrlWiKMKc1h56MZoqF4Kp22VzxnCBMkH
yUHfyoUlJoXnIp+c6s/7y709IKJkC9ZRuC+Vq8UBAY9iDnWX5he/8dInT0pTOhjFg0wpsZfUasEM
0cYm+3DE+t89sdADK3Ps+/zSlkN8ktSy/NQ35VarbmXrBD2W54H5cdwvi60DZ2xnUZLkFxm9sCcz
zZx/Unjve9LKLAUslBYPxycsC3gDI2fF9LFlxdTWE3D5qppfKr+P0UZrw1MQ+tX+/hYt4tZ/Px7B
CReLGHO2zEEhphh6EyMnnptjvst9s3VVD8ielntbZaRVb4CuIhDm3DLLe7mSPUWDGMMX7I32aLd9
dtGS4UGmwb8LolXzNgcVMOfiuuRBDRTAE/nFi4iH/LCamP/Y9a99FdbH+99u1SXYH0FzpxS3LFWV
kWHVUGLyixr0U++mXqUeu2JAeEEZDetZ8Qr1sSr6v4ujqi3GdxE1LOnMqp8TpzKM6TJosfXTQITb
zWUrfE0dK95wjLXd4n7EL6DU8cAtgiKmPDC4Sh5xDFXpDihdmUyO7R6U3n5bEGwAKPxEX2ICwvzs
1nCotEH3iwu6qe23KKnM18536qtfylvs8zVPBxfPgeKoAuHU5qY6qTHLKsFUQMq98+u4PYxNZuzH
Ngs2orq1b/fe1NIHg3IqafnlF0eLynxPpduM9gWB4MZzsmYHBAhHiheUYshij5RMmZRB8fOLmWrD
MQ4M81TpqL3ed/O1DwdaAqgRPRVRzJx/uLwEyFyWERMHsqLwnuEUZ8xdheDAdMnM9rei8VVzCAHT
aMfJraV8cyT3jZ1ZE443tsVe953gHKll6o4MUd84wGvfjxjxX/ah6C3OVwZzAzGPmjudrzbtcy2d
3Kpoyv3D3090RXkGRVkHrea5lSZvHOyUHNqGAdBMMWmbPxDvVbsPVHQUf8PaymsPBIkAm9opWjq2
uLTevYZRZPiZmjncrZ4ln6MU+U1fHd3Rt904YdJjrPvxhrvf3IM0ZGFfCxCZYD0uKzmhBGMCYbjs
YqWS/MmMXopiV8hTs2cw9lbxY9UW7SneERpVlDLny+t0tZAqG5e3p4CoSUraqjjmWcWu1X6kfaok
q9+4dG+8hCSCxJDwlHaBwCvMTRaJEegeDZyLPIbjh4TK8C5h6MfnB72EQEG0c2gnUgjBztyK5A16
YjcJVnLD36lVo7/k+ZidI6ccN66NmxOGKUFlh1eFVATsirmpsM/lzGbc+2UY/Nyl+F0dC3G1N1Ho
PwZdf5OKFKAAhhRxnnkj56bkrFOzZKr9S5kmxtmTZOdFba3kuWpM+dFgUxTwefVFT4e27/IDaoUc
5NZo+Bc/soL9KJV/ZPG4NQvxxv3EJA9CWaD4oFup3c3Xk2SJZ4V1Z51VY3pJFeUaer3tMrrkayd5
D/YHuNNpDtGgIldGaJ1OyNyYB94j05jicYkI7w9m4wWJa3uRty/5aw9yht6MURIQMTTyITTp58Z0
pfHFbJnsEhmRus+CyXEnLdsCSr4V52cFDzJMIPa0p3iBCTgXjwk85j53wLdebLXxOjfJ2rrYBW2Y
6ufEsOv82qBfMjwB8E32VcHr5mZ9GLyUgdIYGzjym70UyS4XlgqQGNDMkqhtTGIejW3zecfMKXet
58hncH/GDzuqhg81wjGje/+M31rkUqZqKyJGoWS6eAkK2WK2edkkl7Axq++1pXjP8H/T+Gq3sZXu
gc+EyobJm8sLsSJqdqL86CAXt2TDOk1jG1WhJ5cKBrWbhqmyswd9iyh4c6MgnwwHHTQXeFuQTgvn
CWqcePCM7tKPdGOIVFoXUY5ql0/GliTx22sy9yBydnSlyMJEWrRckZ1wGvy6bC5B6w8fdGVkjk8Z
1D4W5ejZSRgAaCtG62pMEz0VapY9k7dZv3rfsNzQ08MHyRUcHGppKGgjdAW+8oahC5kDAGmZVpcs
a6of4AhVt3KaeMNZb/eRHBpwxlsYoQKAmh9PmSnb0+D49aXt9DY4DKYmMfwJOYNHgz2RRpObCUFb
+u/LkHLyQgajBnVzsSWl+ZjmRnIctTr+wdBcdX//NNwuiRYe+CqqgSyMbvJ8SdAC+qSXuuySR4gl
u+YkGa+1Kg9f75u59U0iV/AEtJAthqgsgcVjUmoEehNmGlPfEcGgUd+S4YYT4sD3Td2cb0oDrEQI
MoMvJnGfr2ic7BIeZD5dSr8v3aDofDeOtHhPs7K6MrPrx31zNysDLQaal3ePzglItUUsVOslIC5H
ay/xxFzjpGgUFC6R3eFx34IQr5giwIPSIW5tBMEX7le2vmyPxthd8tYf9xYrfWlTpXzKC+/hopFA
Q9M/phKP7jjJ7vwjBnVmIoYXqZc2RZEAebcCFpaZbgQm4gfPbhH6WhCh6KExLxyYySLxnMzCKUol
UckGG//IiG6LYahx+KvTGT1mZIX6zGRqZ+t0iR25sUohjqaykGVa5jbaoDnS6AzqRe4071AFVXWY
Gjs8OmXSvyhT0z1ZmZ6+VGbi/UbXY6tgcXPiKPCAjBPq5HT05GW7V8+LCNKFM16kypT3CPoPiAzW
DydwWCH/QFcWHBQ+s/i0IDLtJFY4BXU2ZPuxM/8x6lLd96ayVZNbrofwiERRyOAjSS5AtnNX8SD2
J/FQy1eYOdLHnnN+LTR9q4W3dJU3K1QWkRUSykLLB2cgrE2d0J6unmwXAt76tdL7zyrwBrcJjJ+g
mI/3z/XyGhEGic4p1hI0854uDhsjGaLRQnr/mqTm4PpWYO7HIbBcXUv+qLPgy31rKx9RkC5U8jcm
eN1IDlalUZhWXA7XFmr/Xq8kb9eETblxNYqteO/5hDvI+9CIp0DLZbzsj0siogZ+11/9OMt/G7mi
7/Nh6k5D6SVnr6y170kUZccm3wzZ1ywzQItKkmhx4P1zJ2k0r0wNK+qvuhKV+6Ge6r1a1vWenzMe
7dTKP9UDejZeWTnf7n/Z5aUp1kxcROMGrShBLJ9brpKhmLS+765xk8kHoPjSjsENspt506P3MzO1
aKsx8or3i3R1GVkOITAUtc2aa1tM5lekDmB+l0rwtbCGLYbf278130pKThTAhQS/SCAXF7TTJHIQ
dkp7HTQzkpmHOqXBNZJqs/vG45iE+0Dv0+ir3Ve+fx47LZjcekgj+0XpnEDZOTIooStBlS8dxkQe
/L2hM6PowThGfBDiegG9Jxm8ofj0ut736jC0V3hU4D4YHVh87CI7PzptsgUVut1nvAvtbwdMHHHT
MpAxujyMaibiXsPUzHctpbTnPu0DzlIxbLjU7WHFFJB0xsnz9t9IaMZ+oGQwznGpuKi/OHajfhuT
6ME5bbSLgK8yXgR1FkFAWYIWZC/Na9s362vXOt4uTMxk55t6s7FFN7ngmxn63yR9WKEuOz8faqZ6
AIwZHzPpWv5LZp7pP4OPhGbTRM0hLszxKWAiyJF+tHwoGzu4GEFvnx89oyDi2DSUgmiNwe6f/4bU
M6YhsuX6Gkdy9mJ4RfShUpuBUlY6bAgIrLiJGKRCTMOKETpb1JFCM40KOx+da9JN8VWNgNKUhtSe
zOZhbAscCVxfqExQ5OEDCzd6VwRUp7SpOy+1r3JSKK5f1dHR9wtv451aRjPCCs87N5xoUHPJLaxY
OsAgwvhrYLX+kTnNNpCkKD8jqu0d67qLv+kEPFcnTcNjMZrx6f7W3V7slFQhtolckDx92emZ0qxj
9J1nXUvwgB/G1nwuibgv5DbTkWihPE6donzU4Dns7xu+fZ/ZPEHvFTJTkHMXPqN6TW0YU2RfdSv5
HpRopKNhGyNumYxu7ctb8cftmeewIy/PLSba/8unE4GfKib7tK5SGCPh6bf9tebBOdxf1Nusu/m1
TnUArxHKeJQMllVBavslQB5Jvaoa0+lAGwZGdyVOldu9BYqZi9sZgv/VppYrSB+Xdv4xsxutuqRp
lYegJHl5aJk3qvIxTisrvIBQ9/7sQ7oH7mgPrXSuq9z7MCU5WtAuLAnDdxNwAb4L4aXeErq+9Q1Q
w8QyyLDzVJHTzl2TiuRIFmQoVzo+sExGr5E1BnYNSf9RoeLSHzOpNgAYlBIlJ9scC2WDY3rrI+To
NC/wT4Av5Lj/x9mZ7chtLN36iQhwHm5ZA7vZmmxL8pZvCHvb5kwm5+Hpz5ftHzguslBEbUAQDBjq
6ExGZsaw1orbX2CK1h6561gPC40x1T4jWHv3W1y5y6/u7DjrKWFfhoMLZuco2JJzoWCC2RLNublP
FQIDWK19FrZrMQe5l6TXDhDEy2NHuWeF7FZiKklxd4KNixnVFh2gPDSFkkSvZtQM4oRUwlIcvA93
DMEIhluD87OcLQIXAliv5euUh4UrYM+pVX9p4jb5+vRypPAPICi8RbL8bz9Um7a9MidpEYLLgBJr
Lc0pS9E5fGxld/dT84OMRMmYH0M0Itf6rwtZtKllzlOUhvWEIpOdCf1jrSOPYejFk6MMiUGkKQpj
Et8FMWnT1OqKnCnkdpaFoInWs9LM0YkhNM6TdcV3KxLXAd6CwuJWxq2r2qSmS5OGGGtITbSibk75
nNRHt98u+2I5vNASwUuVg+90u3OVOxaVV1ZpOE6t+1Ofr+alyBormE01/jg5ShPQGtWerA7I1cl4
gEIt9CQSllujVMCbOWPoW5gw4/V3aBzL74U7Jh8SZ8x+aQx7+pLZiG0+9hHpAzcXMOmXrB7x0STk
Y1tEVa1xMbXczMJSV8pr1KQqqF5uz+etQP+DAAgCEAyScbs0b3UpypppHjpZalzMGK3LSDOPwLV3
/B0/J4wE300fd/tEJkmSD0vp5GGjT1MWMCLMXK9G3iXxqfTKQ/jaPXNU96itM9CGt2tzvBzkQFxD
mUTYtHEUTjNPvttpyRWwUXVwye5eFsq8XLJ8JSCwJOebS7ZeRtH1jWjCyDMmcfYAYhSfIUTY5Qns
ss6o2tQTOuHWOoxBbAgEAB9/wP1aGSwCcI2alYzytg3eUejW4MKDCY3RWs/s9J8qT/cpGdejM74/
elhiQ9/FJ+lcbK7GOG4r9Av7JkRcJfooFMVkGLvj/EQsbpzz2fJeLGdNn5NulCkUWhq821ArUYPY
lsiSESSzlfY1ids6BxAeu1MzgwUcm7w6OHB3dhLkMArHMDjpmJmbUx7lauRpkV2HjcbwcGos+pqd
Jn3quovWq5FyEK/e2U46roTKEKM4d1snBSHA9DqPeMM2kumqRf3yAYDN8sWB9fjFXgvtCzOfjuad
7WJ0MlJuMzmZgECdBtDtcWd07phXUZeFDinBJ9TajIszzvUrFDst9iuRDNkva9l48SdRKFYX9GXp
HGzz/l4jiWTmCJxt2cjc/goLlHdjGl3lFc20lOHljuvzeBx1Fu9Y4cnjqvbkvHuKdbcLbRadpkva
Rq9rEydfYNd9h8ea/fL47N0zIjtPshbOI6tujOT62luNVUSvVVoW12op+pORI8762MreLw2YEEBE
JeKAxGbzzXKulEQ3qzhcNDQtVlQrw7qE1ZlYypG20d4UlyZlI5nukzBuoe8erJjKMqY6LKGEzSeb
uUUIOVuKlaLHMyHD/Xhle28khcH1GSeFUjt4mNuPpBTNuNitW4QiL/RzWRhGWOQr0Pp4nj+mDI67
ak7inEUXT5cpnp6U5uYgkK3yRMD+5kKmknJrvizku6sMa8i8rEI516YBbMSk2jH6DJ5YjsT09t6C
OYo18CPlyMptflzAb097p17DsljMl0R47pnRI+nl8Z7uPyEUINpAQEWpCRHE3i6qJ2aYiiVZwziy
6Ze0htP5Xl/SB4rQ+Dqq/t215lDCYgepee2K+/3MxG/FWUJNbbrAskem/DR4aWct2vfHC9tvH28c
880YgAwuhk797cK8tJoQ0p9HyuBGE1MHzzL4QSaI8Md29kuSb6npETbz3KATtbFTgdEjUxtDIxpV
nyGK9UuBPsG1H9SjqVL3lkSKRmb6Xt/fKvF4HTOeVvAjoaMM5YvqVcM1VhC9fbwguTG3gaT8+SSA
ppxisnvXxKzMBuwVLXRUwPQohxkVQ7oSJnOjbT7N45VgXX2SfczZkqBoYmWQHSRT2w6hUyXaHLlC
C3OQGueMYdmnuE2d0+DlT842fzdFT1cKSEt86JZ93Jblqq5lqoXGTB93GYvymjCW++Bc7b+VvA8J
Xd/XBBb71i0sXSxoARtqOFIpvbSxhqaXWI7Gqd21AgQRPWwZzG2LO0mqIdUTu2ro5NFwXRpr9Y2+
PdJi2hd35FZJjR2J06DvuFnMsq5owIyzGq5OG89X/NtM/56LUq/eqlnvjcChImN+6ZVlbE5ta6GR
MypI/ly4epLpc6EOTfIiKjG4L3FugctMrChRFF8tm86Ct1kW7ndtqfLyoiK7zj8YK2aVZF1CZGp1
wjuaWnVv2yRtWmMUF3rKW1GdbNbbltBwoeSezd91ePZvEp9/dJL2VwMMIqpvALF4NKje3vpATJBa
9MuwhE6kVFe18mTbKHdPRtw8KfKKU0uyEoELIGhK0tvsj88SpQzj5GI1a7DkYoJ8huqUbzRt9+Xx
/XBn86hD42uyjQOed3OxmkJPnbLLllAlCDwtS6P7zujG58dW7uwdaAHqicxrhb+3PT9pscRovSxz
2Ndt87K0CJakokxO9dIfDXDYm0IlgP2ju0jktJPWtkzFG+osakKuBv1TUajab5k3G29wbZQDHM49
U5SaiV9Q0LkTMC3p7Dmz0YYdYfsL01jqUz9aqFIL9wAQuk8XkHuB/Ygt2j2EELe+x+iLRM+Gtgl1
HWiVn8elYvtKOyqNDwqxLq/jrCX1Fchx5j39IsqJn+RGNBLBlm81Ieu+dq2BIx829aK9gk/sL52i
OdcypR302Ev2bxUzRsEbyUoEVL0tJzBmGJuZCLsN20opXzqn8F56rapO5VCOp3FQ7YP0fe/79Jl4
74n+qMrSJLzdVSq91jTUZhkmk1e+gv02L7Eyfn28qL2TYIRvRm+RVimv8K2RKS9Ls6nWMqwWNfnh
xZNzXmCqvFJPmC7PmyIhka175Cd3AFvwz6lKblWGNK2GU1I0ll+0UXyu6iT5H0yB8YbtSBZLxW+z
qlzqyE3RVIaDbf1lrK3+AqssPseiNw8SoL1TEIwB8qaVTe98J77lLXpdMI+4CSc6oX+UjlnVISM8
huWqal2W0KGgUnhwXd2zicOTO0rEBQjf228G8M0UGTMVwnhNhq8orXXnrDTSa5yJ9DemMXsH9u74
iMwMcHv6A4jQbMq0sVWr6qpUIpw9s1D8UhfO6puN2uRkXqr4+7Gb3FkdGu2UjfhDT3wb447zRLec
5kBIlo/KtakXfuNq36NZeZ3XWVwfW7uzNtD58vZiYXscnJ1OpjAQNaNPxaisqxgqrb0wLqCNX4Bh
9kfzRu+caSCEtOPIlqk0bBur7tCtnihSsCVuMX9VY1LYSbTVL48XdWcLaYgjbvI+v3KXjkyLiUxL
Hw10O2vvqtlpQhAkrKAHw/yaM3/06VcaMI4UrQKLybSAbTfHrFKqQ0M8hoALXD82rCW0RNwdvGd3
9k5K5AKfgrgBfHHj9s5U1YYOSTOcsxEcXOl1rxnNqpfHe7d/y6Aa8NO5oGQctcXgZDQK9FTJx1AB
xfpdXZfxbK65HfSRU58Z5t59VBZDe/aqxyckpZlt5ApBU+r2RFdqmtkp8o7h1GrGL6luJF/axvnx
eGW7/cMI1G85lI04lO91ayRe3LSvEmUM4wVswpJl5anKkyNx3HtWyIOJd6kkECVumiClbiyeQmwe
unldnPvSHH3TW49KaLtjKw8ROmn08tGRpOV2uxbUdJyhRlWMjv3ifGZuKGMAnCb7PFVl/Py3oR4C
wphyqHz9N6ayRBmaMm+nUJmUTg9Vr+znc8Jco2dpDVw/5DuUd/n+FGO2ZcHeVCa+fDWFHDPzF0cZ
G99gyu63p73gnbpDtESuQCnmdudgNDDivsXVrDleegrWw/Da27aVHmT2Oz+QMzZpu4JjphWG9Pmt
nWGIxp6nZA5TfPtM8jh/KBPRPnt9Y4Vb7h3FTNvV3awGLrM30tlXQ20p0tM6dYlfj15xEf2htOHO
5aQpDilBO5h+DtDtgrLYGJZFK9TQRj6s9Es3Ggly+UAEvAlFmMvj77SrP1pwaWhH8TfhLXXPW3Pz
yvRrK2VloByzq9oNym/jNJhf+zJNrglBCbBObT4bRvRXixTu62PrdxZLfEEdXE7sI5mUX/ffTeBZ
qWZwKWqYJpr5ZteOx+CwKj2lRtocPB67C5eFWnQvpTgFWK4t8z6zrWxwYAeEKpXB01INnyfXvCh6
Pl0cp/ywlvWRRPLeNSXZkAMtebxA0zapcmrUpbGAhgjbdpgb31a0/0LT854FF8vxoR6QNENqHkJ0
3PrmYmQZx0ANFUOANBwdTnatjhdNON3Bo7X/XEhTSaIOYC3ZwtwkYBlKCTlTnbVQraror6mfp0sl
nPpkiEE96DffMUWSLBXJ2T2JEbj1DK8aV6V02yiM5jpt/FSdrYsKYd2PYm95VoaFLZQZOY0YiY6h
ZndrjGGOXP9eFpGYK+nfdmWUoaE3T47ho/vLe8+ZBroEToy66q2VtoDQWEa5E+bpVF0GoUvx6bY+
yBT2fg5NAECFxPDh5dvp5S6o0yRScztUmrS+5mmc97495e4FRkn6Gg3TfKJg8HQZl4mlNOjhQhBu
8t8bX6/iuM95dpzQEMbk4z11oJhiOVjbLuDkHaELJA1QU2VDb3dwNDXw0pFuhEZj6BfbaJKfsoTe
SWwozgc3Nupn32RZaQekLcGQJAtbOZtE9iGJCro3o2FwOdzJGlGSqPj1yUuQ91EilUHN88ZA4Lpd
VRRVk8KUTazkcfRbv5iV75Xt9GEe1ulgA2+vJM4TVx8IJXIsqTa7A87RbozQU9KGq3DnEjMg6Qx/
1ibliBV6e3z/MUQI/T7XUHJyNl9qqiKyg3Uar62nVdd4HsECjE36gYFFR83U+6bIQmhVSLT+5vAa
cZbQy1jG69Qbl9kwus+11o8/D+sRgPre5vFCgvCWMGpaI7ffKe7geOSdy5p6qviTl/V+uRhHIify
ff//rYp/do7UAB4msSDP8mY5CaN8GLuEla4347d4Nq2rkhrdCVCYfSqAHfxk18r81qvDQTZ3Gwm8
GyYf5qHCPYAHbt2wYXZQpjOD5BprhhKAqE4IDHuhBqo9t+csa9QXMIPalQG03tkuzKMhRne+owyA
ZQeNB23XXWgY7JmtK/b7Sql8dcrzU5dWS1hWIjsIOzaA/f9bK11XWp+yab3VURWK2RppIabrUqFQ
EkW6FyhVOwaGGXdnG714f9DW5U3OGJfDKp1LqjFBYXF7x7e0uX4ZSqRTqjV3vj6+Cu64GJxRCoyy
zy3zwlsXS/IWesSYsQd9pV3W2K39cayi82Mr7y2UjY9hhtIHpR3ErbafWktyO3erYbqaLWigCtjH
JxOuOGO6u+icT0bux0VnB7PV9SelY8JY7OnZJXPa/ufHv8nthf7Pd+B2oKIFtEWiIW7XO+dK38Vl
NV2dKLH9wnOVtwamFBi9qL+OQnmOP/6PPRtBd3IF1G3tLUYvRmcwnyhYX+00A6kU04gbtFrQkquO
ZBn27iypZQR/lOBdQBibc9ytq4ZQvsHSrGn9bBS5962si/ySIe41HCRB923RaITrQmV820RFlHLJ
ktmdrpnZkGt1KD74oDCYAub047fHn2zDNpZ7yMLkLGGkT6nEb3slE01gLS5gCtndGom3Ymzj4dMC
HXe6JonTG78uuWt/UdfIS31rAmpsVZrVnGLFW8XJSGLk0nw9r4lTDnZhf3gAkxEYIEDv8lpvkRsm
iBBhLM50jawi/8ktGFaXeN5z2hf/LB8EGPgCMIk04TfftTBLpe09rKxVOYSGXem+UL3+4IjeXQtF
APkKAOvd6hHmTjzaAOrn67p4fyPzXJw8c84OooF3JO/tPcCbicSB5CVKntTm+LW8KULRmuXqTdkg
UKyMkuZkonvW+7PRecoJ2Tv4dnU3ueJiqlFeBoUw4jaI0BTr3rRl0cvzoCa5+YVYtFlOOWOm29fO
pgTvL9rYHdWW7jg60j6SZfBOztuGmeO66kkrUPYpZ/fXZUV33UymH8A2jyZr3Nl/ghZk2iA3EgJu
+xXGBE7AdKOZ0KVWfFF2+amM5iMr++tPTpSi5I0wDVypLXJy0prZ7vJ2uU7ynLQrED+1fDNiNGyt
3jjA38vwZPOxCf+AZxLQSqjrprAQM2xCLFCIrqVSlCdncPXK71xjvVjWkr3lDDi75t2Y/nh8Xbzn
1bdmyavIR5COoHUBu/j2ih8zL2cmbmNdm76O/o4gF3eBaWZj5tdeo3k/eHym7wjmFM5bnU5D7CNP
nGtXr9NS75LasfmnAgzdPA3FUsnZFYURfcpax82YSGV2/UXrVjv2NTlJ+C930NcPNJiK7/3a5H1o
1lmMXrRVMeuiUUv3TS+ZuO6LVjHqII10+/uaRUrnz9OU6J9LIdaO9v4KS0DKgYgXfVhspjZGYrLD
YRZLrF2MOS//UpFPi4KoNITgdFjp0h6czL37uSDCKFW8N1QJqG43LdPX0YYSacDaWauXBDjiiWT4
OXi1vMpIBGAKMe6GpNfe9vITM89mR1+cq1aq+aca7lBYq+KIHbEPaAmaIV3pdP2AFJlyrf+q8fRN
qxVO7zjXWhHlF7OcleukxMunhKHt57Ydkx8RLJ6zCV/moGp3xzKcdsqQZNsyr9pURmpELmp3tN2r
qY0v9mym/iKMPxgw9opg16c5soUfRU9WJJFZheEigeRyKg+1/e1sCK1y9bmyW+s6Fa1+Xqd5uaaN
ph48dtubECuS8Cjpc9TvIOzf7mrM1RXT57SuGnKovhKn7h/9UHo0pK3kqSz4fUGM8LBNrMm/7E3e
s4i2zkbqL1c1Z6QGAoXjf5bMXX97fFFs70IWRLGHEjshDMoz23gpHhj6KjkI16xrLfs0rGv7Naqn
fPKbbvZ+dy2hHsl539lDOfoHERFqJRS1NlfTVMD2XOzCJmBArHBI2+w6cc1cALgcQafumYKuBnmU
wi5osE19ZLSrVnMWTI2OMfjZqo+nTIXplWTrEaL03kZK10MSURL0tzE1c4JB76y9fU3muTi5ca7/
FouOQQr2HH2Z1to5Pf3h6IFzg8iRsFRl5O/zr/O9VoUlNImFyM0pPsUNQvK2li8Bcq7d2SBb/B/s
EXjRlCaspgi5safDZSgioGPXJkudD1iprku5isB2huVSakr19fH67nw60nFkWaSwiASv3q7PzGxC
dmmPvLX6tW4KpKm1avnRuoyie2xql5dyCKTKh1TCBRXMNPRbWxqSnGPfFNHVmcf2P0xUiuoKzd+h
7P8zuKJwf+5Nt7WQvIpq/SXROsSgBPzZ6dXS4uWt5skY0ZkrEvWsV5nZyrppWx/8ktu3iToYGSo+
RGPMowq8uc9NCkeiMRXnmlprcTaHpT+XU/fX4524Z4T2FMQHAiTSqM0DiKYeLTIEN69mxtwAGJKK
v9j9Ua1F/pR/xyZyKbLWQsNFFky3VpZYFBl6r961WKbudSo65iUmg3qZrWH8stRR/GqujnpxBj3+
xRm17vLsInkTqU29T0aS+Pbbr51nQozFkMVBNpGD5rGhXW2R//HYyB2fwjvly0vzg/tn+/6KtXDr
2pvjIGUSNbEOJCR4pnQ703M7rN7vWtSqZjBOvaf9HJmrGmWkw1a/nCGBozsd165CPWLKvP7D3OjD
X85gTM8NKJNPDAMVJIYaHCZUkO2dxajxKBvMOAm6ebIDIyutYGhL8ZRs4f9ZYSegsHFWKUve7ncT
mbWRrkUSJH3anNSuSCiFJ/XTX5W1QJ8h4oCsSXn41goN/MVZ6joJDLc2fHvOqtNE3fDgFtwfEBDF
hPNSLAo9sy24uATgLpCCSYKSgjh/Ne5pNvrqoAuzs0KtBGaODdWQ77KTbxpnL4rNusWK5qWXDvzv
KWP2z7Nr4SeDJ2W4Mxgx2ca63THXiBKRZUoSKIUdofzmKb81/VL//vggbOaH8vnfzdAqo9JO1qVu
Ho5VMex56BhkoI6l/ffqzdb6TXcSYfkEHPGXJvKKNlRGZVU/ZMJ0/1KXvLMnIhHGTvtFn07puZ9B
Uv4x1gxDvMaelv8iMhOa21g648c4ntc+NJJqyvzVWq0kGMFgp6dFZHHnq0aFkp2qxsNPnTvAgn68
uN0jxdpQQ5OcXejdO+FlWZm0I1Im1tYgEGia9VteZWuo1PkRXfKeKVruciAxs6qB2d1+LTXPGOkG
HSawCpv5CCUjjVLaKH7mpUc8hG3KKtXWGFcgn16p+7N9aqrMsaep8+DSN+VLL6fVWKP1B9fxz0tl
fxkYBvH0Lr7XXqXovhzctFmagqaicM0uC6zMbvyV2diIHkYMAKJte31s6s7JIuCUwB9iT6LQjanM
Q2M0y5ssELleBJ7aTmcrN56bx/Du8jLqpI/AhEspnHT7rVrTJCPW+yxQoNGe0IWvzo7WRQfOd3ct
5DuUMeC0UXu7tWLM/TIqGeWplOzvMk3adMpsdFQf79g2m8MZZGuCSIyMlbLYJjaykBRs0lTLgtHh
GmrMynxri1KD2mMqXe/rVjf+tWhW8Woif//jse17K8QulSdqNQgsbq6Oupzi3GmxTfbTnL1JX84K
KtBPIc/++VpkQCQkZHYYkzvwr0i6bqa6URWHSSsIV5/rBG7gujJ16n9Yi1SmBG1Dk2GbzhWFEa9j
qWZBXlrqyVkdOAur6j37ChLF0kaCCEKxmCBrc6fn7dCPWlLkgb4qyYtXDmTgXfHt8VLktt/Eb1B6
aKbzB9w+DYSNkSk1jWVcmyLomwEN2JVqTG9Y5eKDCkqvjmi1Px8b3N99VGWQdmZeHL0TulW3X8gp
xwhCCMUjK+nHz+uwGGehZM2fdl4cXEW7pREEUTABREerEcSW9Mh/+cKEutCktnoeaLPSqW/mNGiZ
X8WIzr+YOv3iD3M1wjN5vLx7RmkgEB/RkkG6erO8eFBh5CVcSm4Tz+dFnabAZRwk9GaokH7PV/jv
Y4O7/WSVoBHljGb0DEhZb1dp1IUTRRBug2LWhXeJEgfkUZ04btCblXE0Nfbe8oh/8UfeLi6QzfII
ZOPUUResIXTmI+LffxNd5P7BFW18jBT7yQkZHGiW994p5vIltt32Cnob9kqMyFpQtnPzUYk07ScF
GPrvoiUp1+LyaKTwvQVCiyALp2kglb5ut7Ongpyv4IGCalmyBu6qMhrnvo+zl3Jyop/mZipen/2A
lIbILYhEORCgCW8txlFRKBq6SkFUrXSFEfMNczdNPyvLUl8fm9ovDlMeRFUEViiVbxvjXQyNq5iN
KnD4UFAwVPHdclLaFvkYR9WLtgjxbBkWWoRkJtLtovQF62O7OipPqVn2gD6HJaZ24n0DLtcdZCX7
M0BZHjSQK59P1iX//79Oeu62+pzSRwpmjYTaV0SUfhl57L6uZrz+/XgPd+8YCwKjA/+IS3M/5AdS
UFMsaVkHNHbMU5tzeZ/bxlOOdATeRatvbmZpSMK0wWnjjdudM5Vk1PE+EcRekf0y2WnXnaLVTecX
wmHE4JbJy/3aTZsurNy0iz9x1cXfhJO6C+CXpvk82Lkx/DHaGfXZqIgtpo2rUJn8urCs6LPIKnha
RdLO30HlWPUJEme8hlDyViNcQHbbaPyPrXUZGk37rXaHIal8CgCzJ3zHnOpnK+nSUUj6mJtLTCeH
A95+Q69a16Xo3DJQZrpmYx5pH0WWrt8ef71dBLSxIk/IvzwFqJOuV7lR8vW8DMlZyz3V5cCElbLM
L27WF+xrIr5WjSiCx5blxbH9nFzUoIZgyckywq1lAZSiiwuJfmbK7Qsc8fkS6UNz0mZh/4yuyPLS
aHH61YUz/DEeNdz4f7APYY4AkEmSO+EjYcaTgjZtJWdJlmhtldlviZLPp1IoxSfR6cnJYmrcx14Z
ve8pz/6zaTAFCng1PByQ1ilNbx6OAQSJvVY5RzTK3VfbGNfPQ06Y8XiRG0qqfC4A4EgaPuAiiWzf
fN/OK2jAMQ6IidWe6F/VtegtP02Xznil0SoW3851ZfxvMhhK7Ku1s5avZKWNFgq9s1W/1iYXhqli
JwLVplzJmGyhz+VJVBBh/c5xZnTli0ZNT1NhwnzuvGqxX9Hbq7K3wchb+8BdpdPfOo18ZXnXud3I
67c9VHaIkQqgbKgEj7W/FIVzKpThK7I06+Xxzu2fBlnslvcZF46O5Nete7b51JqIutcBWsWW5nvp
onyoK7MKGhEJ3xi04rkpPe+fijICSE7OAjXQbXiGwIC7zsgkBEsdF5c1S796reKdPD05wlvsr2xC
XF5Yas/QoQ1nkyjOUKYGkrc6iCHlX8bJVK+qGI+wyvurhSISsREAMBfv27aT9FW465AYIui96Acv
/XgyR+3CPaqeELbST3qtfFka8yB6uPPdpKsjBQGJjkry5rvlXSzEhCZssJpLGpgZcmNtM9Yncy3j
y7ga4vtjP7mzlzf2NtcYU5ITwMOTCHKnU19XY2SWNXnt6bGVO36PHDgxEXQEguitNw4uAVA2LVIG
ovHSc9cWzsJoR9U4o9fgHNzMd7aQDi6XErKLUp1U/jL/ehPqpKp7o6xFUNcGqLV5+ns24u9pVf21
9tEfjxd2Z/u4/GlecRVC99vGz6iCKlFeEWVVQm1PMfNAz6XpHcUOeysQ5aiNSBici3dv8nwG15gu
8yeGoPCcTurk9oof2WP9LFyI/ZITSwCMApsiWtlk22NW5q4jsDPqneY39qq92HFhnB/v2d4ZqIi8
A3ulaNtOgbBLIpvhTWsfpPqix6do5tm8jJaemYG9lu4RGWDvDjR+ZfUK36NdtUWU9EObDZ05D4GT
wFHy3dbtqhdihiL9xPDbvP4iOq19jnErL0PZ3KcFxjqRWdz2MRTVKexOUxlyrtnV2W1T5VSshkbt
ezh6I/fbKbFdUvuTTjQFyE2GQ/9MqI2mqEHUj9MpidL0LEq3e+0hZB3Ibu38kGCOijcZnIke0I5t
nuPs1UxVPIjbZj73cdNcJWby4NF/hyzdvJL8eNIZEBLvApJbTZdWi4acKQnMbp+q9lfN5oIPtCpO
u1OST7F5GSqz/c8SmXqfnqKsnZYPtVZ3y4uRg1+ND36b/ZppjBDfkPTQuNiNpzTLZlKMITYDb0D0
P+odNZhcxjU8PhPv5K/bNQM6wznxUZNrf6u94SxJbavAt4KxtPL10vVO3H7KzDWtzvSoFNdP7aTo
/WHKZuUNPKhnEs4LLf/QUXRbyfhmbdC+qWlb2WqwLk4zwg3pF+XXflChy7sUbc1fKhuQwgVxmcl7
S0QNQaZowNeLpu5mkoE67tdz7uiN/puXrs73FrRokfrtUAjnlKxaubxRQEcAuWSKyffSzSAIj/Yk
hC8qu3MuQohGe2lUkIxvg5pp+WUchT18Kj0Bsr6pxyxGzNjMx/PaJLr4sy67/rtRdGbnj7GVtEGT
ddrou40CY1wIDUzAyaMRGDJSq+/OMeW7CmaSKdwX11mi4qc1TnqbMD9a7EuktVH/bUCZxzmTSaXT
xw7kgXeFUMOEiNVy+vZSVUXmnWdnUlZKOfMyvYymjsZOVCT6N8NbV5VTI+X6G6ZD/i1qIN3/KVWk
YH+PjKhQPxRumxWXNhqq6M/H33/vZZLbRjRPoAEubIu+noU2dxltwKDzOnG2ey0+MaRGvDy2It+J
rZMhXYQnQ7GltbQJ2tuhiRJuCjtYpkT8hRB59SFrbYHsjyg+rImhXfKqyS6Pje7uJ5A/xFFSKNwk
kN9qlmResiiiNulhokj4Mtm1FpQQVE/jUh2pHt7dRcJrQicYbbtqcWKaIwwBDhE6POOHCmgb+oeq
+j8sSLblgK2Az0FS5Da+WESRNGke2YE3xlJgwy4uJUj9a9Ut48+P9+7egiR1CDaglP3clr/nvO80
Ubl24DCB8FODlmQYWZ549lp3CV+op9LCorhqbJG1jdoWg1JPSjAWhQ61QonOQP20Z7cN5B4Uazg2
Et25q4sl7gqLY9KcoHdr51damtE5bSzvOpvN0aDqncthCjdAyojIjP6EDAn+FQGqY8dD6dUu79QU
/aFH5ZKhkKelzFhAwuHggdgbg1PG0mjUU/IDm3xrzBVryTxvxQsq6CLBaCvuf9FmrU9Jz6zIA1s7
fwAZQRlPVtsp+JHz3tpq7Vixu9T2ArxfgEjuqCTVjXeEgr5vBugSrxFs8q3elBBuBvjU8IKynODb
2lmNZHnkPu0QLIbrF0ynJBluecqp4nEfa5EXTGavggiQOl3Z2A9nkTft0SzvO0viXqVOinsDd9ie
JJhJqUphmyUljfBBGQ/IUedHz/hdKwAdaBig/rprBCdGjiJQHUfBWJtRfo7rKv4vtdn1aCrC3uf4
NDKdovKDx23Dy2K2G5RzMzuIstT0Mx2OSmX2/cus5uYBRvqOKaJ14FfUX/C7rf4pswEmxA9NL+ja
bLoQZy8nLY1sJnQM7dPebbNpzM8BAgRBfWsKmi5SUHHnBaLrPV8dTe8Ua4fgvF3hjnAO1jMgdqkf
A2bu9gw1jjug8FBFgdu5cfSfrKtd9bMwjVgF+kpPyU/XUZRnYPv5n4kiu2iroytHjZf9tgIvhp3M
hSiRnVt5OmupFUPLZo/x7ly3Ih3ME5OvvdOQHTL1905JOkyxTtIbSeu26hOVVWW5QnYeaGWn9pdk
ytWS2dC1cfT83lkT0mQYIveGIbrNtKLWiltHraPAGsruVLhUm0pR0g+0l/n8+GG8Y4q7nTyBZio1
5i2OueNiNwdTVQKGtqEb1ug/JhVAZwkm63lLsvRIei+bm7Bbbt0lL/KWSV9N/NINjBnRPOFcEBl2
rlOmPJ00ci3BF+ZEY89lJMetqTEam2rQ9PglN7sfuQvOd+4W5SL/1UGJ5I5LyJoWCSPmYI9s3qxE
qYB9p0v8Epttd2qtdTiZ3hRfHn+kXebNb0bwAo6QoBNw5OYZzuaUdGzS4hdR11cFIJ7vJfafdT+S
tFTPqZ+QcdMsAlIvtw8uKo5xu3mWUfVQOYbkJYkG1wd3SxV+mL2Dsve7D9+E0MTO3E30M2gqkq5t
vpGiJ52l1K0SmIphlpM/enOaf15URJm/rDojgP0ha0ebgvyaNX7N7KOfs9YbKj/vEM+VAJqqCOrE
Zvqx2jOb7PehqBwN+GziRgfB4+6M8EAQkRB2SzQc2ja3O6JNMcpRcVy+ICj2q6gyMqiq/FExLuyg
urfzJjaeO5X6A8xRajub7xzVI/yvXFQvs5cnZ6fu7IvXG/XBQdx5k7QCo552Ep5Ly/N2Oe2irVVt
wf0wJr2dT0g71L2/jojv+wgGjUW48kseqYju95AQiJcWQDxvE4Jwt0YHWxS0J1KXjAmdoJPtTdQs
kQOf12tq9vGRqMqOhkrDjFtNlfLmCJtRBr61582al1T26sAHKtePaTnHYRtp5d/qgsDoBaJdOqDb
O3qMfK6rxHnxvLSeToaiJN3VaCD3HGSMu8eSx4mUjZuPMBDhjk3AWUYpoxUAmgRLGv3eL/+PsytZ
rlTHtl9EBBL9lOY07rt0NhMi05mJJEAIgRDw9W+Rb3J97PAJ16Aq6lZFlIyOmq21V7PuqXQugqr6
Xs31FdfhV6+PrlrvXJf5LQSEcXFmoIiHEmdrbb+eh3jwZNJVVYJ5UISkpJJeGvMyzszgkkNrWHJJ
koFfNh2d74lx6LfSb4Onj8+vN8/l7Y9AewtcNBCtQMd8/UewbvJ9ZE0lqBQUd3fARWJdIKjICw5t
A9/kNGbdcFezFlqoj0d+u6MANQEIgi/71r85daxAwE4PFdKS7GvSqzYNVLSg57sG0/8yDg5LPJhh
VgFfltMvDDvYR44JtO06+lXVq7l3vaE9U0K+9zWoCQAZoq5DX/TkzER/lJMBa2vfqSi6QiMewewN
X/LPzxlABmwdVKk49U5GQaHaxLTC22hFzeYVVtbE5h2Z7bnO69szAS89qKWBTuIhgbzH15M2BxWa
CzOKfLyaeQaOnLpMItPnounPeZG/N3Nbsg2c1wDYoKp6PZSf1I7hTV2iO6P5txCay31Qd3T3+ZmD
2GfLIYQRKGDX16PIQZfIi2Pl3pvqpeCecA/GEeGZW+Lt+Y1p+88oJ9OmwPcZ8CAq9zbi8lauQXeh
mE93I3foNfrsUfHxV723ezffZ9Qdm7T9NIUdgU/JDDQIFTYJzTFc4591P80Z2CrQ0i8XogNP5uMR
3/m1NseXTbvwD0Y5ObSgAYAPBWnLfcWWYR+7WuRsTtb7j0d5Z/lBbYKBQnQXgOOdrImmL2EHI1S5
d8qh2uP8Sw62ZW6B1XEu/PzdodAQAlizOWmfGm/Z0aJs8Ey5j+rgyyJnIMuR0Kh5ZHPmnnl36gLw
mjfmIkQ+J0vQd2p0NuANvkdQq04NdbzC9U3w+YUOi4etPISQBufryW3e6DBcKiGdfdKYPszKsCqv
fG9TCH36J9pcLVEk4mTdUlpfbyhc8VYmklUHUDDaW0e09lI4KskWM8gfHw/1zq5CkwTiLxTzIBSc
ykS8Rq2Y0JEdjKTu5Vgu8VE6zvAQN+H4I4i0PocVbtv0VQGMsGXUwP++bwPQTxa5xj0JS9KaHZCL
PKvU9l7McqqZD7F86OgXVLNlvOtswOQXrx4jncIIYdC/TWS0LNDZdnuRqnJob6EF8eydgekHnMCg
HAhSqTsrMxlFY5WusZp8sJ1M+bNE9tZY4LKdga/BOk/lg6CVSN16DeNfYR+VmwqauOymtBQHDFGD
GffV2DgvCawJYlxsWnY7MowsKUQ9uFD0VxDXQPc6+W5aW+vUmTfO+AusZweTVbYS3yTMw5FMnLi8
2cdOAxr3x7/cO0seXGNwaCC03IRI2//+H5BSg5rrw2sITGDLugdYoIodZDr/w624leYgCeGViKL5
ZCmaKerA1Fvgy96xoAC60mb9Cqjjf/iW/4xycrZDPhV6eLqyQ0nET9+YOVfAMfKPB3nnNAKQATsj
0COAMPjbVvjPhMFuUjOA+1jq9WQ3UbpCO7UlBevWz7qHAIzcaLho3eIwB050MhQijRa/bRoEyiGD
5CACvDEmJch+a9ydmbq3X4UeOCq97d+Anp0+KCVYLg0PKT8IVvEigv1LUc7JvPNW8Jo/O4Fo24J5
uLUt/nlcvJ7ABuLvMG7g2wqzWC+b+ygokioK7kff52dOwLeLG0OhibvxWMDff6PWL5vB6wOwbBm6
hylu6D4lJjnHqH9v7jaNLXT7AE3Q/X79Qf0oJulxaE5LydExFInJ6MK/wijpnG7+7UgblgGr2M1S
C632k0sXytQaVoJud+gjS0QGNggcPJkkdsrdNnHPvahPh8Pvs93vkNugq48C8GQ/ocldy7BJyn0b
L3AeiWlD6wOvmgoxma5h6xk46LRU2oaD/g9PXLRNoAQ7OdMDRXs30kDT4AgBdlPL1SWZvCYfOm72
OobcdHAb90wdc3pz/RsUm/nfvIKsdrLHHGB1cEqFr9awEPboRNNQLIH2jwoChmtUuef8Y7aP+O/F
hfH+CUk2kMjHp56chCXMFVYIwR00Bzk8pNTwR1Ly3Az6zsYNHC2I2rXCHv22PvPIeufHxNtnAyk3
4t8bu4+yB1Wh6tbqwKjXJEhtqNqHBYTtobBrqM4dxe9M68Z7QjWP6B0Uoyc1Tm/8UpPRqw6kQqae
jSUqej4gHKqq552dkmU+c4CdbvVtXkF8wroBL+Sta3gYMeZoiQGrPp7TJNYI+mzac3G674/yz4oS
UCJeEq+3ehz3soUJenXwF8QDIslM58h2/KzaA9/yj9aKz4FiACDM61GIh3ddIBk/hMh8hn7Pl/oS
MWTVFQuDNkyRahJ8fvbguoV6FDLkjftx8nO5C2JSe3/AiOPY3iLL1MALk5wzUXtnCW4tD6D/UHQD
oj+ZvYYnc7zAo/7gNHVXuKwKbhaH0j019TnQ952zBA1KPCVxVqK7cSpQdDQot3Xt4j7rVf/AGMga
Cgdk4TFdNumCUOS9CfrgjGLg7ebGLwenBbRFt0L4dHMHy5rQzl3FYYndbtrzcaLTpV8FhO8snMOH
Cxua5mUsOXLEaqJNlM8jlLWfvPUQpA3+1YbZgMkDNPRk+VjuhGRkbX0YA949WhYvj8aM6uFz1zhG
2eYVTecYL0Cg968XaQ8nuIATnx/cfjCX0NauGTwR6A0vZXSmYni76zAUeowwBdycOk5r1AHK/7Gj
ET/Mcv7ddW6fd4CH9h9/z3uD4EAG+rQpMHDtvf4eNxiFoxExeoCdj7xzIgf2YaFcf348yttzEQ1F
HMPbSbzJgU+2AACW3geKCt2PCvid21TRsxNs8YYVI4gvodV6Zkm+NyDAUzS4kVkCcO2kZPB1WM+e
XWqUDIG4ok1FLnom/Askb4w7GS398eMPfGcacTzCxm9zb4DE9WRZVAv4iJUzNodASb2j1rAj5cSe
mcZ3R0HzYxPDofF22mYR7ky8FvFqBxVPKuOiFSx1ra6/nfmYN0g4Vjk6lqBD4ax3t97O61Vh6Oz5
vQcwpZ6l1Ddr0EzlLnG4mp4UYp7/OIDNnMux78RxLjVNDj2+ez2KFZJlvLbHyiucEYKTKzv4UX/f
moU2OkXJCl8JHoY6LFhdsWS/DaOKRXDboPCekpcJ63zKqFS2TyEOivs9HbT2M3dakebQ1VUvv7nl
SP28giFV+FgGFvceZB59lI8riM3HyqOTviIrg8V1aVbGHuDuFda/KlkqkVbGJ06bTq1Dh0vqrRGD
11cJSgx8N+JlL4bYGR+h6CFeHvSugjVO2Y/uj5JWy1JoapehYC2PGrDR4ByV1dD93E8J4VAYU8fA
fBW8NjzMRdn5EUPDaTYUSmBVkSVljbb8ILuoj/+ISnlTPjOiyRWsMNYgG1Q4ydy2HhuuFxMu7r5u
uta9ZzFSXXKZzK69ZNJNmn2NMzbKJ9nBziZxgtZ7qsOkS9IQ69vP0AmqWGpHxDqZdBAIvbjZ7Lbc
qwDyDZixJBTpfHAxkr9g6N+a23pSMU3t7HZBNkqt/swRGj0XZHWW9l7HMTxs0EREeo2jEC2TJ2KG
8rINoXjJ53peo2KMBceZ65eDvO6dNjI7xwkdesA7yraPS4W+0bHUZdgc9VoHNrebOc7jDHcEegUi
YoOos6GuyXeY/EUW+n2Qu5YbjAIXOhcSBv3ioOcY/oR5eYnSY6qkLGAhxGWKCOiuKRY4xDOWJjMO
6wrseWLsTRygxVcoOLkgZrRJKsQxaVy2DMyTIBR3ZFw8F4aU4Qgzm2FZINZuwA8eczuQIboWCwjy
EGpViuaAW2p71wRdlfyBcLhK7vteEXWfeNPUpG40eXWYrq0ztIc6dPzoZWDh2Bdz7I36t3aCzlvS
smWzIJnyiNM9jtGY4AeI1Wjni2403nDRiHEhVxpynm7fOAmvilIZUbJjjcqVPkNnTOlvO3siugmH
yvUQ8kao+TJT4NM77Qi487BmJvbbAoLkeGzQu+bYa66ZRbHZvagjPPxnlq2wChI0HSuGzZROTHRo
plHdzX8Bo1ma96iThsfOKWNvh16BZPfOhozv2gFEz4KBXSCyKrEennl2IWLXzeP0rBXRXTEmhoUZ
1sykUyT24lQqV4VfZRq6od7VvfHkDzDNkZSt/DlyjtRpxvs1lDDAT/1mjUub0niYktu1G2T8IA3M
/+7c3lJojBNpXb6meo1DgJ+Q1qBo55MMbtwJ7d9DFzJLn9ugsUtOkYGQpDCn3P6fRtih5IQLNl7M
CBrhO+WPgZuO0TLE+8njUVIAICzlo0K5SdNh8PgP1ZnRQxyeGUZvB7NR9gvIAeJAVzLU5WElq1HF
pKrZfnOCkYkidhs/ALtNG3/MWjbZtiCGDhH8E2ytdgzcKnHr097xWIp2Y9XnMDEOReo18Wh/WUR7
zUfawkIw8yOpgQPIiWqSc847UtgSMlKYGtWtfp5MQpqf8eLyOZtWlsCQEWyF6A9pNVK40rmNLd9L
PpJs8oZjQC14SXG/xIUXDP2dJ1BlZHIM+yrvwnBKclGzasjgPTv09wLR7ZfAAW1dULgNTchCDQW/
Khe98nR1olqAGJaY8T5eofNObSsnB8q2svqxAbmMp6G2es1wMZbDX+GI8skQzeeLVZqyMaAqxZNs
8oi3zM8Abk6xTit0zEd4Gy0zavzUTHxs6xRnmXCvCW/85Uj8Bjk64UK5+0WXasYCKNtmWvNQ1g7c
mBOI3CeZEr92wzvMLF2PXQId/COcMQL7a+5NOOZyikGtTseB9SaF754M9zppQy+TZrQSerNw9aIG
Ch+Y4eZexwdxJdZyVvAfUHo7vqkMIVoDPbe+443mLI162fyCB9xU1dC+61HnPBrhBr0GCn/bMLUK
NpLD3Ifksi8dZo6r34SYRTVo6Qos23KM0wj+kfGFu9KOXCR12z0lIHdNF4wsg0x5srKLtp9d5yAw
q8FOzaYPUyswTF5Lj3wbEr822YyoJjSjfWZ4viLNIbyucek6N7zCipjT3oXu8zr2dUAv+n6cqr2M
RBz9EnUp1hvEaE8Dbqye6uEwiyVWMF2fUOzel2FS6ltoruhD0tUAj+Tqj1/jyScvJWyZEUeNm6nM
EOJkr4bKtN9QQ7A7NRm/TbVCD+7gcDf8Blnh9NxLOc8ZUPrVv0JqURRcoHs48ZTP8/RX9Gvwp7Qz
SkJfmL4+SKS241hSbHABECQBzINu6sifl2dNJqiUQK6r4l3crhV2kcfWMMI0haV5aILF45fxSDgi
yHvcxy3ScNQcXoNxONW/G7gS+B4sYz3dPhPoJ1qQ+fUSdYjrkyGdUuy4td0rkDvbB+ayeEzrsVz9
vYGPHF3v+u0fnptO1HBgcRrlG4Z1i2J9l0htpsyFec6LDMsAgXgTaPSpGMToXDu9N96RASj9hRPx
vtrKoaBORV9Rg8pCSjf3VhP8cuaRw9RKcBG8+IgMrDPEuDD14JSBatIgBF/y2pSMDzQPECjzl1hB
nrCfnPJZTrrlxUIoF39rPMDmTILu/dl+KyrBBN3wjRAIKBtS0NeVICoIFxfiIg8Ut2KuAifM0EkC
aa7xwvxM2Yn/q9cY0euhTmpo4nGyAACUhxaTdz2zRv5wY3sO+X/7RMYLHMbMoP7hDQec9PUHIXVX
qHmZ2gOH2ObYBgYNEbIGD0ss+2cejm4u5tq//+ynofe6CfbxyNrEUCfvH2VcPUVCyoMms2D5QE25
lXzuOa3aW6gBRi3ouW54Ikiwp1BDP3GXtp3PDnPrNz+mptID3KDn2M2X1XX+h6cwBLUwuIYfHih6
J78XhezaW5eSHWLYkDjYVl711KGmXjIF+tU59vWbT9toqaArh4Bp4BhwyhyVq0LZS1R3mCMchZUT
N7+wKz3YZLbr48e/1pvHI1YHsDvoCuGrsrGjXy+RWsFyGrjTeDAlbknfceuMJ/YZFv2wCvY+rdGA
byE0wpDShsBPkJR7gkKFiuvZJhTDIX09Y/M6bJYqsJ8PwIf9+MveTCKgCywLwGvACuEfefKuc5dB
IE0hAMWgXqICr5PwKbENv+iWZvzz6aFQHoKl5wG2h6vpyZJPoDiKzIqhxgQrojYxT01T830n1Dnb
6ne+asMMQTGHQw3a8idf5czdZFg/kgPxS+QjEFznfBM9TQE/Z5MVn55RHroLyM0BNWlz/DxVPxMy
R5VEQ+BgFp/oI3jE9Kd0h0iltKrEs8doec8qfGjRrB1vi4/n9M37fxsdTQJwAkBHgbHD64XZkmrk
HsPoFV6/OzzBI1xJ4Tna2XujgK4MyBJjIENnm4P/tPrwBlEBnoz04DZoBsCw0+QuXEHOHImnmwx4
KJAS+HCDNQq85JREjCNRbRrX+DBJEh87r1+PjW/+GMjyd76R56budI1AlLK1WbAYMRjs204+aoSD
WjTLtjyABtPtujVectfTes8Sds4l7nT+MBQoqv9ayx7Q0FOHcT4b8IUWQK+oDYKsASP1aLRmZ+DO
t/O3WRjgmN8cg1FFbR/8n18pgQly4sxhfJhZ+H1k5Gpowy7F0/Hehmt1ZrA3n4T48+3kxUGFUxH/
8HowLuG3XNLVO4BZoGw+Lho1aMcb8fPjBf7mV/LR9oVoFtOHR/2baoPhW5IyJOKoFw2TQiG6Nts4
D09sYsGZU/7tWIAicTZhS4HmB+LQ628KYtOGrfKbI0T43sWAi+sG5hXOpQVx+sz0bfvyv5UNoOKN
CozzFlgLwMgTaLqmi61l4jTHHjF2pJhqTsNfvC+BaKy0jO60gizglk5lLa4m1jUP7qim6fDZuUWT
A2Q2qIogOANf5fX3rhu/rCLw6PAGxeBkz8wzGcGOSUXAzoWNvF0viN2C7xN+TPQW8dJ+PRaeaCCa
s0oe1YrM0nkIgzyaebj7+IveuPpgXlHAgQOMYIiNZHYyTIk/IaQtbY+dxUMVico4mfOldSeRAWiJ
n8YE8VhHQBZIbOusnperGFrX9bZsFuEDeahW97AucfiFWDbC4aFGXEc+QtzF85KWAsHoeoj759IR
1oUUq6qTOk9YhAhbGamoL4J+XrqDmt1xhjuS6e0T/BqD6SpZkYtU+Lo7lzfx/8jr66WElsDW1f8n
K4HJ1euZpWODh0gSV8eGSpQ+O7z9rCuObtDyDYpa+nj6GvjKrE9Dv87+t1lRSXiK/4Z7N2A71EEe
BhDU3vAG9JhrqGnZnAXljN8KkTsruWuZaOqDAUwEHCtBwl7RCSSApxbMT/kyNSD2ZBAAuMMt5M5s
PnYMjduCRKLn2UR7VuYAmJjzNFIVI2lVLV1dLKXnTEWHh4YI06Rx7V+Dzomfdw1t8cyu+zg4TBYR
yFlXecTCfsMM4nqdG8mvOtXDQKwLEtRGcb16LFMLGHEQy9aquokqGGQWgSmtTnnjestl0ED6A59x
jk79bTREcXvLhtYL77DReuQqVrpsM2KXCnqAGC//S9bK3nlYgoT7FzhTo+7SF6Jq09Xzlp94vSu3
YFMk5xuCJIf4CB4AyFcp0dBwHwIYUOi/9ToDxgAk6iMhQkalzsq6rtsdg1Ze5CueZaSo5BZjxJo4
+os9iq+2sDk2R1e0vdmt7dIkGYKVyl+saWCK6TEEAqVL7ARNapcQYWLcUBvvh5KSn7gSZIvFzqU+
uGtgVI79jsz5fmhG98F2S/jk2Glp7samDJyCl3X3E6pC9y8fafWwCFfDkBBWvUCmnS3rMqhnO8CV
ZuRfOLDUJI/CsH8Q0Trf6c4xEHIGs3M1LmNgdxIpqgweQCjvUjotvcqiVkJZ3gRVxLKWTk1yVTdR
8OK2QLgLNCga8hUojb9cVSopf8FcVJQ56Xw+ZkmdsJXBRCha46yeguFJhgqGBgi/0DpzdZv0OSHW
AteFJJNPe+TBJPBVd5mrnpibLPISJrMW+ebV0k5720PheslK3/thtb82v8KKxe0BsJxyDoG/eM3D
lODiR6yMS5106KPkTofr5K3ZRBxGvkAcTZ/advHFroGRlKzSDmVD+SNWfSz+AI1tvwjOhNm7XW2D
26VCKzV3fQXWhlwFfpJlhZv9g9RiqLLWCRBgNfGZrHgZuR28UBzloP1KmzG+lkzW5qYTjvujXcGs
OlDWxWLK4IUZmbtk1pF6sYkUzz6SsarbaZb9o40XQh4lXBk0Gv31AphKzGt4jHWvIPB3I9s8B0m9
BPkyJARBlcBw/85oSU/pQg1iFiu477lp4jrufNX5Q9tf1dHEn2B/5HIQP7DyU08sZfg02zYZ/3Ja
glc9L43LUj2V8tn6XI031TiRcBe6xnX3cV+HwUXXg499Beqt9O9FV+prz1cBrElD6PWvu5INPCcD
1JkAk3pgdx46EOudgi64fkJzALuxATJNUiwvFqFSwpPsOqhidYvkADRGAjhr6Ix5JUlSAo/stmic
Gk4HCPSDbRqg7O5oK0QVF7QEkltELlStGfdl66Wj54o+B/4OhJ9FPH5xnWCtLwHqsWC3oPhk2dgm
9B4uZU2Qr6wdGxiF0BHZBHE8Aoyy1aAzz248SkA28e3sN+h+hNESTgheXBS0EcbrpozTAb0l3zjD
lAZjC4xJVaH28hikeIQWRXEtjpb2bbxJkGAj2YfheIjikjcZZw5yb0zNA3gdRVSwTKNl8ptapJSk
GoYKaJkDrRNZIKr1kaO2Y4Xnafe2ImgEFh7h/Q2k/ZjdqR71EQlm/Us4gGtb+B737+Cf0NVw3V/b
Jltmd33pV4ZGfQB/pSP1YJRYsDGJAT2hMEidBZkyRSSUKmDdv36tTNXQS2+hpbePgHf/qR3dwmhn
6qYAZ7FXhrnD5ujrDJ5/ny24lkjadPV4jWdQ+90oilQqRsUECJf29wSttN/IE1h/jXJi3+iI3kCm
E9Z72RCNIWaO1E2bW4rrASBNBHCVu8FLrXn1XdSxTbJxhFQfmU50sqmzQqeco3Uds0uL+/wPDk9P
pWB1WZJ2/kzQfYOu0+R8ctXXwKxxgjihdYVeRrKvceSUbc5neNIUwsQC7NcJ8fSwIGvRnmZ+f+/3
bfLTerqj2Ryo9nJAt3GFCob1FzyhhuRzg2AEpI/QdUhJUlpeJELTX7D2QsoFQALMJ0uciqS1SJIl
DTRAUxB2QTTZW3QHSjwYI88WVPM4yVCirGC40HBSeQMJxWWJRJOX1q4TYCouphSzCnXXgnzn3w13
W/9Yh8TU2Rh2YOt2eGLcBjUEBoXXQIqZcR7FvyOq6JfIX1wnrbCE0YSjwLrM2g4anLZpwgHccwd8
26QMgpyXdhrSEQnjyHXG4f2jNFHkAXJ26z/JaOn30iKWqWiG0XydJo0G7KSi5EtTLdFjJE2DcOZp
ba7K1YAMGPfG6Ax2Ayih2NChK+SAxfQdOXAU/9HCwD1fB0Sv5X1F5msIqscmNyhPD06XYGag8MT9
G0cafyPcZiTPTRXgwgCENRDcZ90cp1gh7n3vh+r3UOHuBjtI0DYrJS6foo+d5R6/nP06DjJwUiK0
eqRIYOpTHQHDTbWuvGtRzdFcJP0gZO6CtGXSDtxxxFFBi/m1Q/LilAoLDfJ2tKKli6ZLj4NhEqop
wCRlN9qOMKVdmWYPri9Gtse7IThSXO4eRNpRH6SDLUO2C1sjHxulI/iyLw06BxNFvi/850YcNLMA
Xvag27YtQJgpm7yJZfDYR+gopig+vSab7RI88MGxsMqG+Xi8Wx2/i+Ao3HjfnBU7BJ9uFM/iwe2e
myUcYb0IZ9ff3dLFOoMof0Lzo1whyiEGHdxLPSztTwcvnQCbhSTYt2XM3WKJBg8z7MzLT691SZmy
sOvKAhzp2t2jjQm7kHmm6OnVnOk6Rd4eruVe+a2BdU241hnppbpAl2GpU20bBreeCQhuBpPG4QHm
+Qua26CrX8PS3NQAtoM+TpHT5Nb5sPYxz5SJgmG/GsxZUa++0FniI+Qym51x+Qv7+OCLhufitxbt
4zvpJ9OAXtmkx1Qn4dqlspsW3LZT3f8BrGv+uMDPEpzZg/esepALLlxXunTPpkldecMK+jr0g7g1
V+2jjRSWIUcPWMn2EYWX+tLWcvgelBSyN4800z0ScXu5A5oVPTa9JV9jhA9E6WQBE6YQ1qDMFe3i
PEagGzxMCBCHBbiuYeFBZpchW5B5s1MAP/WuVu5HQ94GKyz5u2mVI/pZKyZJ6x7NizIIy3nrh/YX
Nepjc8uJTCoEqjT1g3DHGI7sc0vJYe0a2+aTdeYe2wN3X+ZNIf1NFxyBudKr/R4munyCvXHS4UxH
TZWOK0VWsA83wiklA+npHi8U67AsnIOlPQgvHvneOBK7Edxsbg5qCmr7YuD2s1yjAPedXHhsIk/l
MsMMGV+ry0Pf12bdYZaadj+3VYgfFNmSoPcbX5ffQe9gyy0KB9F99QNHO4WMZ19nJtFivlLgyw33
0D6HfR66E15pPfUbv0sReIrDOzWdGOOicylvM6YHVn2dlejRTMd98hKWyVo+Q2tv0bKRpSOL0XUt
9D5TrUeIJHGNXIPW5/d5RXUUP5ebKd3OU3SURRuPfX1hqhBvXgtbjXUXljWNr3w0+MafwRgPTuHG
NU12SBkcwhcI6gymgDgLyEpSmQa51Xo8lgJyie+BRCTfTVJVznpcl8XSI0JFl68a60d/8aOVqCqt
IXVS1y3Es+ENWCH+E2Ao6hSYJBGytJpLaTJHI5buCJPwZLgMhx4vHTi6S3PUlsj60jqkieGXaWV8
pQMkg2bRJIJwx2u0eHFddyg3of6oROYKo+YDiojIAqBUSuYETyv7K6SB4z3DsmsBeQIP2/gqQgH6
pe+gU9m6nBKXZUfw+hB+J/Foc5A0/Q05xk31ZJwtNylz8Hzpsrbrhu45gIqaZGiw9LjjKqT0TvDC
HY0t1Dw53c+lNZCkInFJJZc+XqveDZIvnWavFspmdOV86dzAvAqpjliKPsWSZ7FbJcXMu7k5ShyX
0w2ZW5R+ntPb+BKJ4TZZ87gFCfyLRd7dkvfI4mtSWgZdcAk+Ddc70SbBeoCcKIAnKzAq+bulHHHc
CIc3a1oFU0kySF38didBWhd5bPGEfWx8NSzwpVmi8KauVWTydR6R3Qgmw7r8Uf0Mpl86ywW2ePMg
fVaAARnHF3KaRV90lasf9OB03h7dSIWXTFwPjXuhGKiIN4CeCf7QVepk53iLYDZFzEeiLkLZJd0Z
fOkdKAsnJqj4AFwIWq6nWKAHUR98cNojN9IUsirLDBv3C4DQ4fgx5PLeSBGEBQDMIAkDevYafvB4
7Brgke3Rko5dI7f9+xpxAB56+fr5gWBVBOEM0G7YgJ4Q+Lgfd8TFEX1E+9RmZekiMB54RsYgqzoD
I512BAECumDMBmA/YkSgSa+/aZ5rVMmy6Y6JTIJryE2SrG6GZ1jezkecKF4Bksffj7/uLT4GPjqm
EX0EH/2KN6xLFFQdHqrtEaYnUW68yuDkmLxP/1h4K6HviKIX/QL06F5/WO06sAIRkTwikoAj+MWO
zQUDUrbkHqwJzqzBt7O4AflQ923gDywnTtZgFUBrUkm8xjYsM86dsIMThCZmOFTrUOHZpwPSwAAo
WT4b17MlKMHWFP8C9xdr8gSc9jU+rJ5Nd4xwnom01QCm07GP6Vx8/Ku9WfxbpxN7DJ5W2057I0kn
fri6YMgcl3JZUr8EjSMuE5k5AG7PDPUG3QduCsXYFkEA+u8bwD1YQGCN4El4XOaO/p3nNsxa04VI
XSM9TkQ1fbYbs5mE4MgG6A49HFbm66UywWWQuGatjyvr6RPFTnsG50D9ih0jHhFSzc/subcbACwB
d7NIRlMhgS709Xiq7LVXgi97tIPjZaGK4kclpfx0OwGjoIqFZgGtOlTvr0cJZdmtoNI0Rw7OKCrN
BRm6qTcqBgojTObP2Qq9/Si03jf3ZWiUItgXnEzi3M8J6HMNP3rlirBYlhj9I4an6md9MdCShnUS
uO6bcwAOxxMk31dAeUFnEfBLhLt7xQbcZxQtx1bX56Rkb9bh1pBB8Cs8BLfj6vRsVGU5jgRha0en
7fq89hPzREg/5FPIvecyic+R+N9ssW08QE34NvShIVB6/YuN4eKPa2XEMdQoKJrVWgmzXeleja10
/o+z81hyG0nb9RUhAt5sAZoCq1QqlfxsEHIN7xNAAlf/P9DZiCCDjDoz0bNoxSiZiTSfec3328f5
4nNxtqB+wtRB7YOwdrM7YqND+kIZlnAw02mvepWyc8zSvHMvXhtFg+/OU4b6grYVRE7IAVNNJUAc
UUT81UT5/A2lmsG509m/uH4RoYWBAZAAMR4kdzfvpSWrVJ9qSw2jCa5MJrw2HAo4rn5Z5YufUdSP
/SmNlz9vXcNVvoJnhs4W8Axrc/d6OXkcZgpdOAuvO6zut0HTFOmd2+lyDddnkhUElQ58ZruGfENj
KMDDcTsh395LCl+9kt8DR1wZhfCJBeRmBxu0fcGqlLwzd6s+NE1l2M2DcAIABf3u9opdfqj16WAY
MJeUrbc3bVm0OaW9tg/VTjpB1iFpOuWPcZw/uoBrg6Iz773MF2d4pR2tLVVtdTVkm5yfKTs1qf5L
QkElG+bXsmvF0Ytld6idyAhFXk93wo7LdXTo+EGGWLc99+8mnoLkJrRF1cYw6704cPC29oESDm9e
Ry4J3iqACryTRL3ns2LxDDQXHBGiXhH/56QGnUyUW+I2GEaMnx9olXgftKo27ykkr3/xWQdujW/W
64LACsrRVmp/7KOhHmUBWXGp5/9UY2z2IqmWR3XWyoeZhig6u3lmfdFIA463987lyq5Do0HJjofm
9Lcf+k/PX9Rlli19OoWqR9hYVMMc6hlVz9ujXNzB6wS9v66vvGV0y85XNsmTThflOIVpp9FSRJ/t
yWjpgnn9cu/FvDYU2jTwm8BAYR652Zqai4sEPfcp1BvD9FUpu/3spk7QRe69ZrF35bMRDbAheWDY
oOsp+WftEO6oifMzANdakX2HSxg3tKdsRQboTOF2E7VL9F5zBuvHmMixCNRY1Hf0yy4PIq1/EFEA
iFheYCLnP0F0eBVOyCmHUwIn4KCPCGr/KFTqcU5pifn9RGemvcN/vbZl3P931cDShuV1PqYhUl0M
VPpD16TuoQ6QHTHYcN585AGioO8OnRjR9YtAa6akEQ0Foyig4/d13dGTLMTH2/vyQv6NoBtUI5nM
+hKYUPzO5+LQ36vQrRjDxEkgZldKzy0WWfO0PFOFMge/NIT2gjzLrHGxqkXkz7aN1l3hxEp/0Chw
d8eo6KAnJHUzCV/ILsn3YKW17J5QB79ke0dgZk8Ig+EQGn+bfb0oaWsC6x9DNvL0mmh2/6eox/TO
ql/Z0pxSLgPQigRN28QHK77cTnDpQ9DJquz3bOnYDnJVlukOxWw7fWjNZf416ehCHLAj6dWgttzo
Xkngyg4DDUb1AeVQgMLWJvLQslY6glYKuWzlHnJbbR+RLe32tz/+5bO5OjwjJkSqToy4ZaTFuHli
b5LKkHij7PmwaqoFsit0z09a1DzeJZGiZO/oRufzmyM4lNAM5kgITM61JejnEcinOcpl6HideKS6
+MHLyu7t55TohkDbXMsqZEXne7sy9HiaMuZX9DPC/olW7luFm/f2Kl7et6jI8jhzBa6Z1wVgRtIF
j+sZpp4gGNxBvHEy30Hz39o7WM+/VSkXgS5wz8CAVvj4Ct49n5SJl7XMsaEItWqsUGwryJPTWTdP
EeTAezpnF+8yg0H4JJFliyAgslnBvIqwvY0NJ8xat/kvpZ5cHQfRu8qDOnLZ76AkKc6rqLX8i4Fo
nhEkqOQXQYmTQkMjysq/J3BSSXLmOCnf8xw4zcs85s1nRTc7EbRlnrzi5eRJf6bT3UKhEmMjHnWR
51WQUsP5Pi5T6u6otZa/6fMVZVh4RfHVSCxaThMOCsoOUSyQ/5YxT3XYIbVi0bVW8/QTBXITRwya
PNWhs6UXf1sg/vwxF1Hov3ACLItwqOZ4/KBXLu99C9F7wPFTSc3XBdfM9nEgywAqohO+7ocl6kVg
atRK/VE64z0/mYujyEKbxOOrifdabdzEd+UwTEmWGlaoCPUzOpwm1+l4VPIG2leBravTdHcuuott
y4jcpJQb+bwri/58H1mp5S6jaO2QzuGsHXonR0g8hjWTBsYSj28Os0CZEyIiIg0y1eBYng+XmlNX
zAA3wsJyEXBoaNOLMvp1+yheBAMMQhSJ0cua7/Jqng/CwyCSEc/sUMFfMhgqrU/pp+niycyT9kUt
c/vO2b+4pxnQXJeRXI2zuNWOQr/Ba9xkJEP0sJEwIxrqaHLrdz7V1VFgeEP1XgtK5uZTTUnuQUbz
1NAd8/FFgvn6PE/xPVbKtVHQGkCuGmiTRdnxfPHo4CW1AWs0TAy9fcjUavFp0N8rflxuOyjxPDj4
Pa/B9lZ/VPfiif2WWCFcW32v0EYKCq2i4Wka9563ywnBfflbQKWQCUx5s+UcWq4cft0KO7k2PiRU
qAzh3jsv2eWEqAbTHiARJPW8qK6sYp+xLhY3NCOZFp9UL8d2zdKyJv+NsI75enuHX86Jy9/izFo8
ALw2m60wgu+dZNe64SqW/hWwYvqlyOd7kitXRyGjNgzD4Z+t8mQ1tH3TRJMbDpo7fGnHZHjUlFR+
uT2Xv2f+LKKjKACalCsZRV+sFTeXHha3qgkz2QtpdUC1gocs0sOMAkEbQNUyjJNjzO4fIbX8f5HS
jtkxiVXxs0rRVziAZlg0YJdFpB1u/6wrHxQiwCqIuUoM88/5OZjKInbbqMQDMNcS+0UCGOkfSqvM
l88zyJA/t0e7stQgT9GW4lqkRHLBi+njsWknyWh2agWcF+tgo3Ozuz3KtTnBgsHKjiYTYgfrn/+T
qA3JUKt51HvhhBMvkK9MDSWMb4B8g/BvD3X5kmG4QU0K+gFO3qSh50Ot8QLtdj6qZWbl0SUA8xf0
Uk5pp1a+ElvqHyO9ewivrKJJkYn6EnjslSBwPmjdFLUK1ywKB6B0QaMWZaAO0z3x0svnBQus1fQN
MAICDluccALGSmhGFIUJ9M7nOk3zX8izI5A9oofYUv+585xdWUrCyVX/W6OVBs3tfFbNJCPTQkoh
FPHg+YoKNV+N7eyTSs1x52md/lhPY3fP9vDaWqK7iPk1LhZwAzcfULX6MYmmLAqrgpfadSf16OnL
PdLP1VFgEaMg5YAy32rOzmgmmObcR6GxFL/QlJn2Seu+OYXGkxlfFB4belk0Idcf8c+2L9XOyYnN
lXCUrr5bTF05FIWd34mSrxwuIih04SkJQAFzNwuWtLADedSUUJp6GnS6VR5Ke0G2ZKl+vvlsnY20
edFUCwGFOGIkr0HMzIHt/xirFkd4qN0SME2PX2kRKf3+9rBXJ8iOR2eUegQFz/Nl1CvcZhONZSzG
NPpJsUDrg2no2iWwp7b78ebBoJzh0rK23eFUbMIQomCs7SjHhyYhyIuBD5qvVXO5G3rVulM7urIH
6W0SWVAr47bfMveW1FhARjhRmMouQjKjhW8u7bfq+POOUvimysJjClNwW1FIPWywemkqIeL1YALV
DIStPciHNy+bx0xQdCe8WsuZ599IKHltx3ManyKjL1anXG9f1p3xVNOweLk91OU1SOePO5YEAiYz
+/58qGFIR0CCyxwOMvmfKaM/Xma8LmqNuUmRH2+Pdbn1GAtPh1UPVl1ZRedj6S3uXvE4zSEMPgMA
BprxaMO7SMJ40+72UJe7gaFWBWzSauSAto3NObVTN7d0KomFPQUdWKdduoi3qmP+7VqpVJdQuqJA
u4WVxE1NZDVPZlgqmtjVTvJLLJ4NvkvWdx7iy/lQ1aEk6vAfqmUXumVTDShfIzdBqmN5wXgvP+Ve
L+/UWC4/EO88HThSEypIiHidf6DcidIEPzQ9jERiHpoe/1hvcSu/0JZ7TrJXJoTvGnRePhCNU2f9
839uc8AclVN20giRE1tlPVwAkjJ33hzPwwFcmbwsHdGEs8khC3sc8bS07RDLVXqyg/sjKex3S2aO
d27Vy+kQ+5IGwYWGFQT+4Xw6yN0sRu1kTtgn2n/CitMHM5fmnWD2MoRgkHUasAwJ5bd9qiieUNpo
eidEeaQafaNRIHjk9vKVNFkBxIpMBPIKYNjeKgO4Sq9jvQp8BGoVWdEmdpmEouVdB/xGdn37kDjD
qzo00Z3ZXS4hOCMidIp81BTgA54vYeQWKHc1glClIWfopIx8pVWHO3fQlVFIWFeRXrC7DqW181G4
mZKS8lIUmrNV7UarroK4ByJ++/qhTMHfc54OraRurnBApFQS9c1RUiE8tEmTRmEhpOPtlGx0tId+
1JKfqCuIL3Erzd+VWavKwUjEyv1Gtb91VyczbwZeZYG+DZx81It3ekrh6LUrGmX8tDbrlUOURYPx
TqfjW+1zp6iiDySrrr2f1EgThxihHAVmhWoM78AKNNbBpQeWwBArKappeg2APK7yfnqEkzPNR+Q/
BrhVXunl+6WJHXOnis4Cf5vWQ39Cq7PQnqzZEnbhZ3XT53voUcN8HJDuWB7sUSuiPQ6VpvnZVJTp
Szp1pQUdCXmtDw1iWuZDZSjJtHO6COSrOhtlIXeDHO3loVi0wgoNSdElsPqyo7U1J23/OmMmbcBK
afv/ulL23bu6zugZ6p2IP08KKtm7UY2W+L2YDBwOSoh13W7hJl6AZIOO3DltZ33i3Dfxg20oOmV/
pJyCnJjS3FcOSOn30tGrD73OjN/Fk27kBxuJ6PZhcMxl2ntpIZFb0QvTC0cTEahsh25+Mft1pSCa
o2Uz+itOKYbPYzrO/8sagYaOsgyFFYyZZhWv0qDJg6GoMcELkrYd934BzgxXK6RdJaaeBg8RLxeg
ESddMGeE7jK2EG7QsSo/QMRKvHcJdL6SboSmyGdKl4nze24VtfjRN1Imj5pACfRo4lylftOdBW6L
wK5OOc267bS+isQG5b8psrLkME3pJB/o+LanlvroV6uv++xUtRaCa5CplBLMiind3SImbThkFd4l
uwmBL3nUzAEsftnSOjllFk6zJ6cGprmz0I5pg3qQQnkwU1QbdgkIouqYFQR7J0XXJC+gyWd5IvWe
/wyzNejPjtQg/SigWn50qtW51Acsu3tYmq4Se6fqYyR89KwZ0U4xlg9pFNluANA3SZ/NkYLDk7X0
2nAiJh+yo52hILRLQMKgFTRhlGpBv5LIGcyNWSH8NiuyQRuszftHWco8CubSFOhG1PpSBt0QKbE/
9EYmd9LOLCgdliJGf2l7JGsaGx/bVTtoKE59pIzST5vc6B6MDvTULkdWud/zphQze6VR24CgXYCP
V/COHV8dT/J5Y/B3MphT15WPXmfPxmFQl9hENW2YxH5Kxng81rEFf8KvvF4fXzwaQpgTTZGq7BH+
bpxvEWan/ZM35u63RGTqR2TYPC9IoyapnuIRfQVfLdAr9YUBCyrIl479tGrKlYFrj0rkLzFEhGCs
E60NFLK2iCKwLbMgpRoyB3YBDYBgxUylD4fcw6iRosz7alayj7rWKB91JF+ylxgzMe1zNy2lfNHY
L4hLY8I+n+w2l45f5W1ffodr2w+7EaiasjOnAthua8fuMMCetIq5CyR2z7Wfljr+1okxud8sJ5rq
YyrN1oB0Qsf7p0iw9wQ3DSWro244ma+FSIr/DVajNcexM+YCpLQ6fgF2nOWvswMG7r0DJ2B66Cl6
dJ8QQOL7p71Xf2mVMdZ28II8YOPahB9xi8vB+0zgnHvwkFT70VtzEb3TcI9M9hnnWP6cR23CmK3i
uD+OaMbCW4X41z8NYh6AcINRrQNw/cV4XF1K7b3oLW3yOSUsIVycxPvONRzlRxhnQ+eL1TDyYXYi
UzxEieP1B6/AWz5oHYzK/6Oz0biBmIZYR7twQTBSmTwNiToKgcuTIzD0/ZC2NhSvep46/YOtTPFy
HOJRnQ5Grvdfl8gR0/sYMk27T9WmaHYjnxLL9XbWun05Not8TvM4glrYKbhTo+AkehU/kUExd8Ok
VKj2WV1tPvHURtBVStqSh8SacnnCSsFsHgvZiyksEeBS3ntDk5t+l0yO/pQPEzSW3vBkH7pLpM9P
BN2W8SvSLfmlkMZovFpt6zmf88ZVqq8RNU31o1YkQx4Wg5r2frJIazmWetU/ZwtU7IOdQYT9jNFb
b7WBaGdL2dnROE+8+TKCi8w2QfMP9UgXkhFKM81OhRRUwkhwO2WVtBriQ9WgTHwo2yifAtkrQn/G
2GRZDu7UNHUgmnhmYy1wFI9uM9j4XRZzb3/jxhL1zwV1WsUJarWoYBc1UTUe6IqJT44ym3MwNG7k
nHqFdgHXQ7wkIQdc+2Avdq3uB9kJ/cHrMGH+AVeo6A5JRg3yQFeh0Ax/ypU4eUlnNHYBtDdWQaPJ
VJaDtMi0kZsj6UeELF6+JxZ06N7X50jJd1bHvQlXoKrb9x792/4EnN14D6+kqX6qsoujHWwjEtuU
OOIP7SvSJpG7S/0AIKzFb0ykoImh1lXWbzONab6hv1F3u4K7mZYpzHWrZ50Xo/jD69OO7zzFVTx/
7koMJZQy09IAQU6hPPZZBo3Pm+mv7K0a6TsfSVIR+fT/LIoimFISYlrK4gRePeufGqvs0H7ra8hc
y+I6z7Ha21k4O0uW7ZfCVBBnL9W+2au8nerR9mbimqxWMdWO+UpTCE3RsAL+T27xoiBzOx9cSUlz
Z7eJh3HdkjScJKkNRzOblC9dijHGizPnmurP6WJ8E3Es0g+Z4rYcywVhFm4zpMX6H62C7lfis0eq
8eMyKo730UPcAbYQ3UNj7xYdzQpk5NFbQ/LSro8LrM6vmEGZ0Kf4kRHPfeIYeDbGCkbi86ysHl9V
IT+jgwcAh/t3eUL8y1TDuclSZSdgifW/0ymtMcfuxuoHHKgI9VlgWD8lBKefE/yUZb9kK0hocgad
+ziG/QPdT+/yQ4pc+G/8RVO51yHRZK9W4qXVUxmXrU5wODZ67RcTTIzdmvzhLVHNdfolk1nefamQ
z4QWq4/IMkh0aaA/T8b0Qq8RP/BqlovycbZ1WBV+wjv22QKE3r5KEv52V9KjzaDGdfNz7iSi2A/5
3NfvpnGMh3eOoo7yAdqi+gSjAfe2xBFZwTIr3WuvDiYd4gzaz7Hu+8gJXJAFagA3FzII0SW/CJJ4
9SFGbLH+oGKjbB9dU1q/kDBntw19UiXvo6SWOLYpyJA9UQobl0ei46V7aCI9lc+Fm3VVgG727Bwj
ddCGnw7qdS/lsupUYpdkT8d60dLxxRhF+Z/bu70WdqbQviijZw6/vChq9X2Fvcv80eVftf7UZfH8
dS4VqP34l6fHluA01FBxsAJUSayJ2C3jrmyGZpAHUS6IVPR6TZHEb0XT4f3TuKhkngxEPQFXtNBa
AtDSEY+tEdXpvlcV41PsUl88SJzagQ4srYnJDaKMruOXigmDczDdjCvbU2oRGG4sku9GMrnGRzex
RPOlF2yGEDk53Iws/r2yi/tV08EH4zKWT3ZXlA3CgllJbZLNan2IzcHRnms2XPvJjRt92LdRpZjH
itseGIY9WweyQgNJgRzay2NVQkrFw8ZMx8fc7HL3CarQWD+sfKLmT2G3UbHvhavY7OcCpuTolOgY
F8hqiiPkO6CXOD/Iwu8HXa8O4Icd/b2utEq0r9IkQi0QeUV1eGqQeFNzX6pxiViFjFPlv8KNcnEo
hVxoDilQJA8ZBAgTqd104fTE6qpuSIsJBayWK60OZCaj56FpzY9x28N4s7pU9u/wva3sMFZw/Q1i
VSm/orjHhis6r1YPUQQl0h/hetTHqYkG+b5IYqdEG5OKHjouo9kXHyxHwovzhS1XxfcKusKTV+bd
8mG2bMF2U6Q+fi3VClXJDF5jEkRxtng+RLtc9evawZgr4Sm0V9/Q+EczTVEVELcBH44WL9lNBteQ
P2uCsIvHzb5nmbPWZ88TS4+CPukruSX58rb3HlVlZpWR51GBNOJj6iGjKoVtvJsNpDfQPvhQtwli
FUo590jNmm+1uaFVAnafmgrFlJXhtCl0xEKMdWN0UQhkpPRrV0mfYZdgmYdb+vPtJPpv7XEzVfRb
aJjQYUYxaivWp7jZ5LSKF4UdSraZL10pfsbQMD7WEHIdX+hN/qPOk2XyS96YVy+PVS9YciX9dfuH
XFlyamIaNSTbWhtumzmjaanWAAOVEKnZ2pdO3h746OKAtk13gC49hF5S4v2Q9skOxufr7dHXv32z
CqCTKcGgFodD3ZbMgOxxy8NaxCdO2NIeRLc4MC0Jab4u6Ioi5FNCy7pXv9iOSToDJnpl8YBQuMDk
q8okTe7dKIQ7TsbnRO1hcYX5bM6IOQhVm+9UZdbaztkcGY/KOqAkHAtVsBf8+b/VQNJ/Tju7qkrp
TGhWY/4SBRdqJmW/w7YuekeAPn7PbHFPiOmi5LmO7Gp09leJQSrg5yNnWHD1FEyo02R1HuSJMr+H
vI6QM9Ju329/yIvy3ToUPQraqDQCacidD9XTM56qiQ4giMz5Gzz88jB2dnsoEUo5JoL0DYAY+h+3
R722tHxBGqmU3WkmbDZvR6gkXEmbKdbyr4VHfylL5KM2DL+MmmQWcqyf20hg3B71yrJCu6Eijp8T
YpTbMls/qIVCZqWErSO0vYga4sDCkX6EC8D/z1D0kKiLrlqK23bxlMHabaxJCZ0mcveo0Ah/hlRN
PSG+px56UdRzQJNSTvZUEBtcv5vioa04ZqEoA/rc7Yh69Yj2u7Go1Z3DcG0UislUxqG1UQfa7BOl
VsuKY8IXoySyqyCBBWCR7nUUruzG1QgSdBq+yKs/zvluRNEok7qLg29aKdlngTbDq2QljVNn4h2r
TJNLSQYFX/3h9s64sh9XmgpNExccD5fa+bja0iyA+OLspGL+Bo+0LU7ZIFFRsUwEMCuR7WOpTa95
Ito75+9yT1JbXnE9GNlQYt52CMEt2N1MHeSEqLUMujyRnwdy74CC0T2Q1yUahjNORwipPuCd69V2
PstImRGyk3l1MloPW1QsTHP5I5Z9nD7naieougqhWacEnLv1oFEr/jST8PSH1o0EKh22gUoEG1EV
X26v/pU10B0OJruKkwkg5vx32cbaqUJU+tSpmH3Q1Rpjv6cVSZ5L2Hi4PdjlFuOiA+1Ax2rFPVwc
l34yVPrp+WmZDIRf+rHz/AEtk0cJIRHRFUNNyucmK6P5zh67PEE6lU4IonRoQe1t93ZCutx12Cae
qqZVVs0O8gKiljdfPIziUbLUaQjDQV2n/8+jZeQZEipuVpyQRlA+51Ua7Y15GXBciO5dPJeHZsXx
cehNVnMF958P1WMeDCGZoqRVN+opqzLz2KA0ww2xtOj9pMjxFbCyKWG8+S5iYEqEGJLRdWInbwYu
9B5meVmc9EwZ9qhUTX5TzNFb+44Oo6DqBpyUsAN/8fNRnNFCqgOBoRMSEfZvo0TU0jWW9lvkDuKt
IM+/Q0EQXQlfRLD6+VAqeQsHl6Eir9MJaug0uG7++/bGX1flPJzhYkUI1IUvjAvNFnLnoiDVde7C
58oL9wUVYX3ZAVygLJznQHIbt7buUV6vbXmSAcAx4Fa4WNc//2cz9r1m9/NUFKdSLuX3aSiWRydD
EuftEwPHsfYgaeF722iJhpbW1lVanJpRdQ5YkZD6zDP/0xN5m2Ouvn089gRoTKpYgIu2B3nu3MYt
06Q8pSkuhstSfOnpdfoiH0NPy/67PbkrhwzAmcpe51FcvabPl9Aa7EEgmsfWcHelI+tjbRYf9YQ0
pzH0aD+6zUxVrb1zi1z5cIC2UQag/QQdwNi8FLMXiypHM+mUK6X7rRm5DNmV8l4YeHnxrzkb3CDY
MCA9thF2q/VZvqqcnYwcDuxILf+QVEb+2DvLXULv+ohstj8xMjGFu2JY3C2JYlko66hz1JxaRHIW
v0S0VviqhWw8FX4Hl5KJNsMntSv6FzCY3Y+pbUYZqlGMYwM3d9bvoIDMH6sc0TA/nWLPeJgHzyge
u7w39AfXWhS8ZYg6lR0GFOWwd1KRT7thoa1w4h1tVpFwjtghJ4F2XF9FR3k58hqtVt7jIMTPxPVE
htgsHyTIwYrMe+oKiFbmRlvHp7oSsRPQHiyxKEy1ZN4jRUGejZIxEoBU06P8QQF5ogUWzF4XjOdC
QIFUVFc/QgSu7+TBV3aIx+2gknCjwoua6/m+jNzeZI9k1cmiT/MN5T/5Abuae26lf7PpzVejv0/f
fUUcoVGxHo9/bhCNnecWg6hOqFAZzSOaDa73FbsSurP5QqndV3VER080BGnTiaSdxJOeGnG5g+8+
p7vaHo0/aFJ209GNuqalPjvLZL/ETflTgUlrhW0GpP+7GNVEBAMF2Di8fX6vbHHo/rB31lcEgNvm
/JZokEbU3qqTouTKt4I9OIJpU7X9bCvWm6UuIPGRVoFO4R/cETdPFmZW9qyRrZ4wYBwehMzifeoY
zYGOmHJnXpffn+sIrWByN9JGUHTnH8bp0fIxKMRxQyy2sUfDdzCQIyqn5HB7AS+fLSpLVHcYjAT1
AubhZF6muSlX0UJcLIKmKLBFSA3DzyOsmqh90sC4PeLlJ+N6Jx4nsPn7VG7C0RqJwC6f7eJUc84C
FJpqjh2NNOzCteD2UJe3+wrNBn4G8APs3nYVEYctu8icy5PWlt1On99VTRVgtkNxcC0nY0VarjKg
0Z3r/dqaeisvTgXkREy6rsA/p6rArSXGCaQ8xWme+cno7lK7MAOtNb+O3PN33ssrW0UHfo8UuUMC
Cb78fLRqRRRXqVueCBWSXdkbyaOZFG+mfVB8tO11CKJsCDqbg7YgxqWhP9acEM/Bf0qn2gq8BeVU
Puedr3ZlQqtM9gpBh5dH9n0+oWGMkUBWhuY0llK+pI4XP0Q5Fiu398aVjwT+kb8dOBoe11tglYvs
N/Sysjn1zUFoI4tWZZNvSto6hnJnQ1yZEa+86qw4pxVmt8kaZEKoViOzd4qpBh1a8BaHZC7mj7dn
dJl6rdQpUi6WjQBqy8aYDN7VKLNZt5kMl9A+p5WlFXDfrBqnM6lOTZDjV7TcWckrBxriP+8g8EEY
LVscXO+0Q4VubHPqik49SGDBvlUq3g5TgTeDznmqoB2BZlmzSxDu51vDyNR4cPuoPiXZtOwaqxW7
rB3vBTNXJsS5JeAlmaQIu62+Lglwi6XTm9MiwCCVcet+LAHQH40hs9+cBfHwaqD7SMzhA2291kcE
ePEeadoTotb9nojGC8o2M4NZw1rx9va4sglRuacIgEgOyiHbmtmKoR6ysW5PBpKGJgh3T/H2s9EO
96pM1wbicVzltXDlQAPl/CNJmY4ZguXtCQfIDKmLCZqYotzLxK+N4oFi5t2CAQ8U93yUopjN0RNo
x6EEq75PlEV30XUE0nZn2S7vCfiBkCzBJ6530pbfU/clwq1SH05elMXOgyFnlJ5TVcTTflY8lPXS
2WnvhTWXkyPo4wXB9QEpI9Ku88lh30l3da6HU997xWkkVqDRU9dpfifMuNzpqzMrhj5k4EDbt0e3
c0XXl1IdTghitweK9IMPp6wPII/fqw5fmxLxse14/BdcxPpT/nkUe90eqITbAyCHJDuMhi7RWlHu
cV+uTshe33vIIjxUm4WDjeYAf4zHU6FN5TvFAWmA4qxl4ESgwO2+faIuL1xyOGu1XsI9AiWezW00
GlbWd4CJTqPdV/luiifPORi9QvJgOcWQnii/695xLsr45e0jkxnAvKcbyCO5btp/FnMxbWxo2kV5
yFujsoMK/dnqaNYeOJZ5Buv01Al84Ha6LcfqcHvoy5hqLaOw4WguoPSyVXHQTJG4bpp3IcITne9U
xvJZSyyEdBc1flho0L90ttEF4P2iO8t9uYN4OZEl5GCY0OC2LJbOaPtWlnkfDkprHrOm52XT03u4
58vzzppyc61P2pqjb+4VKbVGgOzsw1xNP45ZiW9t2Xxzk/qPbfXRw+3FvNyuMEpWEOrqU0/taDOY
lprAmVQbVaAuRXp7iedDTl6Biod2D+f/l2x2nuutY624eOqJMLY2eyZO9SoyzQSJnjbunV2bgAnZ
oQo9qDvZpGa+Qj3BDKyQnmWHEaP6RANiHD6u/n/YfwIh1IRvJtKI8M6UQiCgDbTukCoTDdIxNlbv
zKkdwWVlTvzj9jr9vfC2Px78AAVlUhRq2ZtzPcV6Nmlt04R9kS0JWNOuNF5MAwGFfVFUbpP6lNuL
JJhkXTinCOZnFhS9Mfa7tJU5sOpsJPBemrkfD/hQx/E+F1RNCl/GpeY+NmpnmM2HEuVp/auZgHQ4
Kp2b/bT4OoufJ9yeOJ2Qge+yItE0H6RTZj0DhMDGcaKaXXzQMZoYdzHcXiTFwLtlGH/ERfPt9jpc
2y8E+RYfUqXHtnVR6sdKBVxi5jDVgLmoc/GVaMHynaZ5ewzkrPU37LuJ+ilSbR5xNHNTYwLgHI5r
8UZM5njEYHjCEjNe9rcndXmuHdQLkEtDjJO5bWvqbe95vG1RFdY8xO9AB5W7QneKN98ehHRrSx9h
O/KlLfGaZKVvHBff5UGqxQ6t0ehBb0rtTu38ygeCwkrXnvIl6ctWlK1UAFdZydCGrZUU3zpNX7Id
Gu750dLrurgTeF9ZODqSa5dlbUigLnb+CoyLVhmzlrRImbrfVghlOPLK3/k6l/chjKf1jSGloLe7
rdODIq8tUCddiI3S9ICw7bIg092LNFTj3Pwd2crQ3qH1XS4iwpQ8LkTFRMYXhDsYkghBNzwxSZEl
n2RnTghUKt6AkTeR5XTnk12Z4PqqoNmBVCAZ4WanG1PbEjuuSnCgSkY/t+y2AzeIgvohns3EBHs+
08q+veevTdGlRQ7Ig6DogmStK7PXCqxpwqZqmheIG+NrUbvtU4Z/x51Y4XKXQKrjjYH3QoWba+N8
lxRm2eDtsYjQxChb87syd6HIdd2cH27P6XIgXBQhVgOsQI3qAiakaJi8lXi3wnkQmi+NHPRpbLyZ
ww1/m+CO4hFRCHWPzUvgljEFZssUIXYxP2KrPWqlfJ4aAd9mUN9eqF/jYoJwKh6ErttLo8UuV7US
RcAlE8W3AWz1HmzwdCdxv9wMjEKTmoY8Mo7UGM+/EPpOQFLVdginSlaP6KE5vhvbcoUk3svVr3wj
CqXMiTic07ztUjkqxj/UCaZwanIlAJ6ByfcKxn/zTqALzoUOcIJ6xBY8JZWK3odJfR+9M2xT8Ap9
r2jLcid4upjL2s5bLyekTtZPtFm2DCqTMyaA12s8AZ6FunrZ97V75zK6uB4gpnJogAnRplgJpucf
xyxSL9WHaQpzw6F+MmjqHo8xHEyUIj1OmNH7t9fu6njoLpBS0AEztvG1qiLqZaAWE2I/5r1SYZ/2
9SSb36Oe5EdFi2DN3B7wIqBnglinrYS1NUB0NvdfpxQ4FHjGFFrtbO7TOHmQS/pNTtqRFPS9FulP
S2neCy+uD8rJ0tmK6+Dnq4refKs2i823U9Vv/8fZefW2jbRt+BcRYC+npCRbckl1nM0JkbLLGfbO
IX/9d9HfSUQZFvwiBxsgwI5mOOUpdwm8JaLB2IZdjSmMELIMvb77MBXTlTDSWOdyFkauc6VoQPYA
eohI4HxYTNPSzmwrdWwTwPujoe+WEWxnV5jZXdxr2mdMUcavqiwlyM6itT+7jW3/UbHz9PaaX2SO
/A6yxv+v8K9Sz+e/I0/nBmy2q45JabsI7A5N8UmjvZxEfWyUK8Wp1D5ByyX7eHvg13YX4h4vxHyK
hN7mzBhqoDxkBuo4DOOME5f7qwF82+IuGfZV8uPtwS7uNWYZEDtSc+L+JHE7nyU1d3caJNKOgjL8
hwFnCXD9mvs9jp0/7x6JXBQAFYxV7p2tfuwU93geLih/KnwbTnjpQGUbjPyoRtPdvz3U5a3DSCik
8PYglEz96XxSC3KxeZ1Bng8Atj97g5f9zNrGuXKDvrJ0dFEpyXFFrwrCm6UThomxR5nqR+xS049l
nXt3RaHFH82xK67EB5dDmWSeYG2hyNJH21Y7STxzq+x0dfRTb9qncTvtlAnDSMjq3YxpircvAjbk
Ezzg2yyO8rThKfhDx2psxi9eHo/PhHrySkB3ebh4TPlG1GbQJaTgfv6F6kmXssmS+WgszRyZjZ8+
JXKVfRst7WAMEhQ3EKgrj9FrqwjWk4sULCuF3E1YAp/Pn5VdzEeZAH4MYCJ9G1n1UKuS5em9O5CO
IMKLa0cfvNO2+JNkc9sZcOCOkhb4bd6DmUUgXO3eHuXVCfkEC6uWOhIYm1U0hhexHmM+Iv/8dUb+
bw+qDdIrTiFXRro8USAeUUkFnkaczc18/r2kmXuemK35mKl2wXkriEOrhxX29nwubz4+Deg83FGJ
8S9AvwsOssoNyuVIy/tL1dfHns5nWM7NfzVahv/LYBzdFfXLtLa89jY3Kj+GmHYMBn9G7MJbvK82
EGD4TnBFTwHBnnmlk/Dq/HhK11jlxX3+fBVXNqVbjtNyVD4Uv6h2WxU1OlSXJjA7oFzlfGWOlxvE
NmhmARnno7FPNp8NEXx/nkF7HP24bI8GOuGHIQgwHWuD+QqA69WhwIgBrELNkmL/+dymDv9Vf5md
40rjvyFz+Q8jQbXnhmqvTOpyLzIp1F68lfOwNjHOR+qqOY79BhlH09PkQZaDjXYTFda39+Ir81nh
A2udgFYd2kbno8i5HI3BrnwSXFyPxqLVftoFvCOMLp3nt4e63BYsGtkfeCOfrtlW2yjLh84pStTt
atsBizYUEMdzy0r2Bq5ROFMG2tPbA76ygohGrP7GCKLRct5EGK21BNg02O5x0VLvIVnAMPSLPV3Z
7a+N4nNpcLt7L9/rfAWdFmohJlLe0er9kls2KMsfepblV271V4ahWLpuunXt6KueDyNbPyMatf3j
nMtkrw05hsf0ot+/6daLdhVdo2IEOuJ8lLQMehwss/hoSMzrs6IJ9gMh3JVN98pcuF9Xbx0K6Iyz
+TBVaYjVE88n9ZvFH6dY/A96lmRXjurro7C5Te49no3NAWpS0Rq9k/lYIM/9g5dXwS5BB/vK53/l
AK0hBPgREmfKbJvXNlFp78HJ9I86AmrI4TXGA4KkmJuq7Jqw68tDd54zUF7jGaTsoBNcbmWF3DKt
taRAGMIgE0q6e8Qvw77xgJCA1x5841vuQYouQh1v3DGtdqxLhN4DFh0pApzzF4G7nTZ/m/2v+txF
hXjoNfgfbvFVaM9xk956AcZ1jaV+tNqft4/i5dkncFwvTSoIpK/bV2jwknTAWSHmW4CktPJanqba
TCKrttECj8drngqX357x2Fsv1TSO/yZkIE3VxjmFQVRZvsLyqKx2dKaugXrWfXr+PQDZUxikrkAF
jZLx+WnB5qWHvrMgFdjV45GIjI6DhNcewnQOPoI9y05W3zb3GOKVz2RZ0xW1uFdWlZE5rJReV3bW
ZocDe61crACSE90FcURfA6NirBd3xGuSJym9pvN7SYmjau2w/2BsrI2brWC03knTQxMuOWW+mNV/
ho8d8X1SgoqNHIwWh5tsRSzcLrw02m6GqfnHcYoV2CLs3N+/e0sBC1/rwGSPvP2bycshhWNd5eKE
G6q+G+3JPBmpBmsEpVl8EIPd28OtO2bzrbkS6TTSf6fxvIUStCjk0bkR7RHOvdz3RmsflZrMu6BJ
m1uAoemt7y7Tt7cHvfzA6JlDvSNZoQFCWfh8g2Ey6KW9G/RHHEhbjr1EjBgioie9I7ZaKNll1dJd
a1xzE1/MlRzMWjkyK2LtwigpFqs2Ml3UY9INvhZJxLLHqG27qdu/kBHux7FannzDaryomPQm/b4E
/eDuXXiCH/qRujVqUDreoaXAaCHjPhJxVnADAXOheFXDPc4kKtURVLvCeZJLHVfhkBDwPBrmaLWh
O8AbOjbdYGef2jmvtO+lRuuCXrZyhtV/u8KVDWPzdjc5cqh+52pIPJoBokvI6OqhqHYihlX7ZTbx
+cYlVaMe6+XdWOz1yRcDtrIocR8c2FNP2tT77XdHiizb40TgBXu3GXT/xlWrkgdyAu2fFvquPDQJ
hMW7LB7HlJ/pwSTTx8CD7hUrEzdGy3iGDoJdIoo3w2eZTcOAUWHV4Zo7prmRReB7lurGlL2u/6PZ
xqTdGvWydEiaavX4zbTJFLMwTvJA39ddnBnP6RT46lE05BF/sHTOkA8oklll/01W3Ip7s0Mp5i5Z
BmRRcyNvp8iULjIdcsyTb2mWCuMmK5ZCRH7eAE+ikuNm+p3QK5+OqUrnVDF2hoKTt1d+Lq2Dl3le
fRxGT4kvmV4licAo1c/wLMAWtYVMTvAUgr0zpg9BkJschUBlTaRGCYOwpZpr3gRp7Xm3TDsbIqvX
Zf0xXvrMXGVGy+55aHItQIrCXOpb/ILifxutX4pnKPvJvy6aJGIvUXBPHura8OM6ssoYrvfU5RD7
86FCy6KjUIU01FB1TTjKwdH3Mc1gTKmr3rJRROl0/akjyO2/AidJjC8ztWX5GbRwPx4tZ+4QVkLs
Gv/xoUICRqSFN+wl2NDm45hn44/FQkP6gTdsDCKBKlCyS/U8WGjoTmhdYZcbt7shR4xj3zllKm8w
2hzU3Yw2gYPuQznXBz41e8wyufturaVq3V2bKVecMi/NpoPO2nu4fWuF94NWdpD82yhjSHfG5AQN
9Ja8hQNa6kX1oemkqHaLPzXFbVN7XXavC938B3t7N3tsTbyZj1WvGtgjncCJexCIIz82ooG3j1xM
3kdVrBmfR3v223uZojwS5ZM5Oo8mn502YI8aw71npu4D+lC4TjeYeHb3Cb1P44CE4Oh9nqHhiSeJ
/Xv+QQaAXHZgg5r+e5PMxSMK7IiVFCxUf1N5RqKdxJjC9UZVxTW+lX7r/8iQG0FTuUDi7FHTgUkc
BI2R+SZr3RlNFdOPTT0sU6uY9pbN62kcB4xFrad2aIX8OjnabHxw4hoR0gwWIB6sNUJ9UgvxRJpN
vEixojmoAMf0kLJUE5+Uh2hUtEi0sh8qbWqeJTWq2Apjq0gf6szo7tVUjQiEF3j03nhtbzla6EP1
+04rP1YVHJI8GPMQyTKuvB36SiL5TAKWSDyAZVYHOzvRvO7Q4a7aVatjqcastSSLDxYoM/1xzrmd
wzguhvg4Uxt/Bi3vS2SpAucbgTYq/wAeJ3SHxGi6ETxjjTqnaPxgp6hXNjulIaWFFkrRzhzHbFDY
ogQVimzejEuYge8thtC+g9l230ze0cemN7ibdFH/awm2+V2G+lj1s6GE5x81CzfW786cpX9MYcv0
O7yfuL3rDDX+hhHn45uMcFQQTnqt+5HmJ6O9W5xk9m9GHn3tJBU2Ro96oBLrKBq+7WdnxO/gRkst
rwhLI2nEc6IcKnN4frZq16KJ0SCUY/X2Uc9wuwdq55XFg86DOeMFMjkLJJZeookqqn6Kpjqpl503
KN/+IBY5/QZDOT6PU9/pj2PhZz5SbEg0hqUs5/G/t5/UV2IY1O/X0jKbFtDQFnzYpGxzUS0WrPlU
38PHUjttscsHvIHE0UJd9QYNKRt/obF9GO0G6Rcfiba3f8QLEvo8moBO4YCp53KhFrSN5EHRtU0l
bOuY9QnekWpJsmJPPAN3ahrxF575nO5dM3TQf6aCDOqrZTRe/c0otPkjl1HZ7Eq5DEh8WEuLJTyO
4hlu3I3planYYxedW17IwSyHk+93AzISIGG6P2bGWZ1U6Q+HuOtGbQ+SRmHEDXnLPrADgm9zY7U8
6l4KmCtUQ9dXUT0g3XZoYTWYJcpW9NHa0FQ2Tt+hm4ze72Iy4uWDTWt+em+It+oxwnEE8P3iA7gJ
8TRE8+QylvJUIjluRRrPfxtyfoV/M/c1ymeDq3L9+Pa3uUgdGHQl6AHJJhGmPXMecyXA6xZUmOSp
S4xxv2h4OFcVN9f/MAqoOTh60LmpEp+P0tRzuSyeJU9eLqZ7v6WUmTmdc2UuF0EraAyyxbU3ANSK
VOF8lGnEbND2KptAznSIAODAYBVt5vdOqnUngtbgyF6/5nt0uYLrqCsgEAsBmq6blHgMqEug1WUf
G4TgKtSD8FoJIVqoK2WE12YHw5EyNy1KOiDrv/8FPcwsSkZ4sjhHgCDDuOc9HeTnEedjKzLragZf
Y+X9eDc2ltZfyQYuAnOEFFCPZIrkXRy/zRSdBpUydiNSMIv8PRTTfduOv4LM+0+I+Jrv4etjrWUZ
GF5IgKz//tc0m3J26oHm87GFt4aIUhx3N3LRAxwoLBQAqFR/f+/eZHIIqK3cClq/W8AVonCzY2pM
bir6OgpWv3OkB5srd6D9yjZZORXYRnEXrgSz83lNrfTiqjSDY+XC7N1D+LLNsDQBlkWOg1hdNKPL
2N45qG3mO7/qFt70fIaSh6mWdtdIaYrbTjqJvRO5cCT0uQBH8r2zNGrcxV5bzne220gkrlJv9I/O
6oHmRmZcIKim5Z0vv/UcTfdgIlX5hPjbBO1XT7olIlqxuicDWa3+KZAqiW9qWsQDpvJj0h2dKpM9
8oaul+0KsKVEzCR+6NDggIM0Ypv4egTkquj5Pbk2n2pjgXSbq0arb51Ypsse7bz4uXa1fAyDIVDy
vTU88F4rUASwAAAYkEvn65oKYWMNryMfiuiRjFz04WDzI7l5BY5w+f0Yh9rDWi4EnLpF8yTKMIfG
RF3dcLv0GPROfofiWnVtm/Brz17KdTaAASh7EgehGn8+G4sUAAICgkNItKrbXPgysq3h2nleX5KL
UZAYXuu4FNi21sBN2wpyfvYiiKTyuUGkd2/LuP9UWYG4cidfLtsad6zcVKq5K5D0fEKKNetRbxOn
2irzJ9McG3XwJCq8Vx7P9TOfTwkKqol6ETooOuiu9Xf8dW3M9jSY1aSlp4UuDX6JBmSLHWEjNOKu
tZc5bOG64ZLlaYMb5lnRX+GNrh/mfPwXyv4KQGRz0CY8H99ycPsuW0p+uAKqCOVc9I49eetbw5Of
j9fe08sPiPsxFRKdqIpKybY8Dim0K4cSCZ+4aX4aej4dSlhC4eKARn/v7bi6RBKS0HZfxag2L7eb
YBFMJ5coP5eU2oriX6ec3g1b4v8M45ZiP/0JgGyb98VzK2m2UtMo6knSmlERQDfju+ltjPJSTcZl
xaWQtrkphtTzGy+fk1NSqvwXcILqpJz8msbR5Yan2E8xyAvQoaYEshklBWdBwu4lJz3LqVOXVRwc
Redec9J8ZQes+uRcR7SXCKk3wyRzO3TZXIiTVgr7k7NY1hGzLXXyR2nu3t4Crw2FEheVV6qBKzDi
fGunfT4sZeeLE/KiU6TTYj8gZJs+IjlTX9ltLxv3/Bj5K3PeXg8yxKgXHNFfx7i1OnQcDVixU1rZ
424I7HoM27Lmys2dgeI2cOU2/9mWRmq4oWGgyBiqvIc46IgZNd/F8UV+34M6yO+aJZHGwV1KuOYl
HjDm0ZqyUVypSr/yvfm5nEbUx7nmtrkNQOOq72sjPQ02NcRbg7q0dTssLWnn25/hcqA1SgHgYAKz
4SXafHHXLpa2zZL81PpdRY5QZB+dQF4zsLq8x9blp+NGGkLjZZsPZJmN6wZaDKch15NHBCNXv+Ru
RNjWgFmLhmncXLm5X5sXaEKkNMDJ0izZHH4bE9UUC1VIu8OCLBcSvHIv49R+/yUTgL1cccZsYtDu
m/VrU7xnLenB7Kc+f6L6d4RW0Fx5Bi7PCn0R6CtrSGkiXLV5v9ug8YzKHqqTqUiuo9ZXKZJfgzl8
0sHPXvNpW0/e+WlZVVW4YwhdPdpb5vnJzLxlHmQPN9ivZvuxho2wUCkftAK1kBbBRQM0df5LTEWp
QPcpSlHc52gbvHtjrgkXOQJ20iuk6fxXeFrckTNQsPc6NwmdJdfu0djUvr57FF4i0AHgpdYoel35
v24GVcmmiF0nPjZJZjxAOulDnAWKK99vjcL/XtG114gkDcR1HiTgCJsVjf1aL+IJBjnCFkNzE8Cr
mm+TQh+zEMXZZboVPrKoYeXEePW+PcF1mTZDrzuHQg3ZAVSGzdbR3cTDNs2DYuulPjKxyqDmbphT
jxq/J9pQ8FgZ4SQHnSCbfuuV4bfHkJk7kLGhCFIKgMC3yU+UP41zURTVqS8qLerNSUWmPidXutSv
rC83mL5eLC84vvVX/PUVSY4TrFSW6pTPRv0PCsllGZV9N+6VQxqDvrMRzal0/3nv0oJ6XrGDxGZc
NVuxCjUjNG0YZXuCav5v2s71Z6Mo1F5fu8Dx4qU3gIOmqO9c/8vbA18uKhqSoAjZUmh80Ns6n+6k
Y+iAekZ7klaA6w/Ewcemr8wrm3Z7Z6/TokmHueFahiBnPh+l1tTilXbdnXBy64/CpzE39MZ0SM18
imbbSm/eOyuLdllAPA8CBAGfzayGHPkykOHlqdMprzv9CGKecuyVWV2eBwi4cKHW8JOZbcEZaFT7
vtD95pR0fdyHpkMRN2pcV1U7LzeiUb+Vy9y2x3bQrzlpvbxy52dx5Z/TDCSlBDq1FdWpaycdEABp
T/GwmMk9f/vlJXlysFdB+Z0BLhsRsK5Zi7ttaXahmwVzfZv2iXJP6VL3WURibJghUAx8KZghCVAa
QPDba7O/pIfAnYf8YVmr0EkIf3MUh2JA5ebRkPX839LP9m+i/7GigO+n6PwmsUqPrZU7XqQ7GoVc
BGDbbt9iO5pDJTdkfBOrZsC6Ien1p54aOcX1ukBbCaxmr0JEq6sp0nQ/TkKFNbEXTXFhuXdznAfx
wzL1bnngRp2dqHOmOQ+5pNLudkh7x0AFvjRRdob33X5VqHEHj0GM+U4oB5POXt/K/yxLeeLfylr6
5Zul2SK9BTdWNzTr8KJEMU2MX+rCasuT0hCF3xVJHdh3U6X0eGc1iYqPuj1iIODjNT3e04qwnlQc
sG5VQYVih/SCRSdDy1GC1WrX+Q7StexOqivH73Zn1X/MRpfOrkW+uoiybp7nO5H7YLlThzT3VAKl
e6+sIi8Qfk2Epzj0APHavkVu1QWJETdUm/NgPmUZlrxu1xtPzdLrR7wGqo9NC4QipOR9zbhnG2BQ
o1ktLxlzPRhges/PeuZVXN/D3J4Ia1OfNWvnn2bt1g1PQzCPyzUizuXdQqSESByVWxrzxIXn4/U+
nV03brpTgxaZe1NPmtPeW0vhZpFsGveLKLOhv1LpfGWOCAsgJsgjuNp7buaYgJXCyW6BHG/wFCHb
2IaaRbaWWct7NdZYTmYH4tDgSoMItHl0zbiaedAhx+cO78PaD2tuG6SUnqs6qHFhCLLh8Pbl+cqC
orLsANdBGHJFzp8vaAG9dVmotZ+EDhARpCiUu8gRbWnt48TuAp7eyrmmAfDKir4o1bCeiONASDsf
dKaRaorOG0+pj417KA093ut9j4RSBsnuSkZ0OUP35TFiu6xOxVuBF6cUPmmcmk7Evfkn0mAMyWE+
3MCFmz4OWXotcnllvFWrCeInIq6s7Sb+jDOFCJppLqfRNpsklAVGPuGgw1kPF1GMNI26Ir6GV71c
UXwx4fXxh5gUVtf5itJF1HD+GfXT5LjVY67K/KZ0E/Gz5Za+kvi9NhRJGdpNgHFgXW2ed7Mzextz
BvOEnrz8UWmdQlCdBv6pdcrhSsByOZa3smdXlRK6hWDdz6clGmMcqNFYp8WahiNhjXEnRqycJg+p
sfceBMIVgh8KPkRHKL6cD2U3MwojUrjIouQxacMw35etmX1ezF7skbHr3z0eSFJuslXAYNVs3OSZ
1SzQMbc194StSRpqAqGNIjMPtWl+BsfSXbnDXrQtz0OINXYgJ6JIt5LYNpnE4EzC0IConNIR7b0I
XYExj/K4zrXP8ZjHCkxQ3OnUqzMK48pI0IlWtl0lN5qOi943ofRKHaj9er/eXvZ1WTe/y0RZB/oC
xWraVZuNSwkuM4YS1QHVY0tQ4FBzMDUvuVItp11zOQ5leZpi1CdhIm0FHlFY6HiresGuFaCbqlWM
8NbFBsH6MjRpR2uz7V2cO0ocwPubOQZ0teug2s10Odym/jl5Vr7ss7oevB3iCZb+qe99jBJF6U9f
qyX3zafMz3Jrx95qcH/RDeUcJjf3afPSodAi+kdufVcPZQylQcmy+dFPnV4/5JaIkwN3VFbtErP3
P+IJnAb7eDVKenLpRN/TFebuMFEr1/FtQJz8nv5KhVUbAn3TXRbYTX5HgFKdKqBc9JMJ/LUIPyr/
qfAm9YvkDCzNXNPO32WmP9khTVHpRmAzEivEjAQXj1ZZzp8ujxv/FuRsAXaqXCacIZIW+mnr59qy
E9h15n9yG4OJP1kyLsNxFFYW72iMW/apiAEDHpZBcIfrQ1os/1Y1fkYfYDACLRbINRYHCyxF86vL
RSFvBr0oeGdiLme07WPMuXoK8pInD3LOeMzheie4vJt1OiUhgmR5f0tSb9e71CjsD16VDv2HSQbu
s+WV7XzAa5xGfoYogXZwVIDwigDL4SNVUMf0IF0vjnetVYhP2OCVwR3oHVx5mhYNbJyNEkX+tXjf
qEDldZQT6nR7kk+vOHpx1tk4EU5Vs4+HydDv+1yPnT38ZqBnAgUKmB1eU2CT6XWWh1ZkI/r4UAZ6
94iNH/KDQNc04zDC1vqNxqk2RQ0RrX5Px91JoI4GuHeV3YxTju5ry7LXBH2y3eoM8suZGqO50c28
+TZjtxOcCuqQ3wOR2Q25f2qKG6sIcmPvYkHVPi0K2tGVQ/OS0mzOJvD9tcrqgpPg2JxfiYmhKtNY
SHlSaaEoU5iy+imN1X3cQf74j/JRWN4nOH/8NkU63lmSz9vg0uLu5oRuT2Q5WeUfxkEPPtuZlaQ0
hgmLIzu3jW/eoFGOrmP0UI5+OXFYkKrp45ugM+b3Sj5QAwJLQMiIKhoFt20R0Zv7JXGcqjpZsigA
K5XtBxcTqisJ4is3DM1UZ6UJULMAK36+WkYXj5nbJvWpt0EBu0sr9nHdtDdWeZVW9NpQTGhN4tfa
yDbDzgtPQNWd65MzTyXWVJ76uGSG8SfQXP9KheSV+9l70bsiQFxLe5v7uUlb4g03aE5tMNkPaJIY
h26qvNv3vgK0JxDhQxcPMi4P7fnacY+NmAHmzcn24vJe+VVxI4lV3x25rKPweYh315rauqx/V3s0
2+lmK21OtZLzhyRpNWCVORhCtGJ375+QRWVprWFxL1mbZSuSXnNMIdpTPRjF3i/cbkdIeC0Uu/w4
dDBJ+SwIZtQ6t569gYZSUGao5rSoyuPVptcyxra4EjtcBrSM4vtEYhai58BmzpdNowBpt52kakTj
8h7F4vlmNiBOzq053glqujfvXzvOKTV/ugr8dzNe7ICqAELXnlIX3628Sqx9rY/tlVm9tnY2QsWW
o68k1O3G7ue8HEANrF9IpvtmKEB51t41DNDlSV0NB9CIZ9vpJAPrr/hry/GUAF0v0pa3eXB3ujcE
t2VgjNGwVPGVCV0WqBiKiinXAsVT7qDzoazeIvqRE58JvFZUjOLZH9ObZTKsUF90RUhSWtivGZ/f
/lqvzRAJRupTK4UfDbnzYfvczcrYNVvqYmkaIXKq41CJNyth7bWN+NpQNLZIVxluJfaeD6UNy4iP
AG6mjubgiIaIM+2hnVeoaff2nF7b8eu9umZUsOCdzUXhBkKz1VS0J7yvHzy0rADjyQERzaLgxoiv
pcMXbUaSRZ4ONH7hra+qwpvrr+hTTXY6401Jlt4bss8/JL433GoBHsH2XAa7fCDM1Mianydg+Y+T
qPDbxKH2e5z0xWEA1xAlFgS4oMmG0IkT7coF/eJZfB4L0K5CnHKN00EMbcFsqlNmrqV4E8ZFXy2H
wMmISYNMD2REmlgCVtfbND44DWj20G9aoe3a1gmeRDfNP/0lc6dQaF7rhOlkV9Oe8rerQi8JuBil
6SCWVTIRN+yMZVKhghLfhy6+kZ9kTwa786bUSVH96Stx5VOve2Y7r2At/wMDpHi89WomPIx7HTDt
qUHPKfLFNOz7AlPGd2+oFWyFihHynuypTU1ACl/zKqfqTnNs9jurFPJzgxQPpg1t9Q8yp6TQ7x+Q
C8dnTBwjKOycHxXAvIvTKb87JTg4AC/GeDKtlf3JxM37XyON4yux4sXRNF4MhqAdc5dya2/u7Ias
EkjSPJ4cH+J7aJk1V/fSYkcZuaNnfXl7di+inmdfjVHW+h/afC8MrM0BraoudhucclHgNlr9saH9
PMElaIoAfJdd1kYoptn0Iwmf3Nv3buMUv7B+rNBoj2fXOPKoKu9u7v3U2DcizdzvY4WIWzhXTYGW
cee2uCI1hhcvu6qPx+C0iBhjOlIBV5qgKEDyN3djlyu4uj262Q9Gq03kM8lkYJo4iCG4qYvCGI7E
xb3YdXMSUFmfgQnrH5Wq4+630EgZ/5SYSgZPpVWRDNk6OsT3pnCz4dPU9t4fx0jKH5Tk1/4XMHnU
5mSeDf+kvJv42TdWFoQ5VrvxPnVz71GBUMm/WNJOf0EB8L/aKynoYzAvjnM/LH2u7mtF2fG9tz9c
G7ArNFyBU3OO1uP11/um4K+A+xmNUwNWYB8E/RjmEiwfevzXOGCXW4yh0PxFMOVFZ3OzpSFN+RgM
u8apSPP0a1Nq3Y4SHiyDwUrzK1HvxQOwltKJEFF7gr9I9nM+rUTNmFOXvXHSlO38F0y9gOLZ+/YX
NA7FTWnU9rUdvb2GuH9WQDrSd6s271Z8Q7N7DXTdYp0k10ezV/PSyf2ydOnHThTGewXsue0IRaAR
ktTRqd/WnkrJ1miqzjllMtF3qIX6YauPIrR09evtkwq27nJmLCT+NT4vHCrAm6vPFyoIEIReTkSQ
mvhp9ioYP7n6PC17imJwMuJ5tETUGX3TfWmh2zwvCHyOp0LCD4omNjj8B6paGJUOMrjvSnukWlD6
Xd0+miC1Aj/stHJcPhrwWZYwQRKk/IS5payiUjXufUP9PgONj/bgbjGm1A01z5ghbC4ZVIls6jEI
SiSyCWFtJ7WClpIn6QHgy5ztOhalPHDFzObnZa6Et/ON2fc/DXZTo96Q9Y4FX6HwgemPOcawPSes
u+dvZX5QmqvUJ+78eInGwYEbpDdtF/8jLF/8QJmQ9lUiFic9xME46TcmAuruj0KXgQUYJKi0z/ge
+s5ew+w1OTjOAnQVK8osiBo69ngHL/jJ31e57/4sxqGIo2lSQRami4KW4JBo/6f3tPW4J8revcEl
qJx2gXSkcTSsZOyBEswpMUQBBcDYpV6Rpzin9StYVdamFv8LycGwQ1k5yt11JRpXh8JKpcT+ehZf
MUbHTBl+W/BfMy3a8pBXdf5Yoyr6mSgGP+BimXOxzwfN+zFS/YP+FyNXEk7OSHYy9GuHSgrp/84W
faZ2MqSLDJdZr81Dx9bHujfWxG90seIibMAe4WZdSWn8k2jTWO1NkQ/uTdoOix8FvdRFVPl5Dhkb
2xHY1srVnwk/+uBDbiL6+TDNQ1Yd/Dwd0qOPPlB+0AU671jGkyhOoTkanfvBEabo97ZWBng2S1Iq
mJ5zCi3k7eOwRcisB48GH38AlNEv29YIIJjXUBBdko46WHhI/B6DYUv4OhiAvHRp9JD7zLhW9Ka8
URYuDNHYzO017OFL/nn+gNIspxCIchrFEV7t8wsO5htdJSiVJ8MZLP8TpuoiuM0WYonIHiy9vtHA
fxh3fj3KiuCzxYKTCoozIrCdJOm+T0s1fsB53S9ucqeMi5tG0zFVXiVp2h1NOEeEo1nXSGoFpfZP
EdezRdFzzIJDjenrGOV+XzzLYRyfeZxxPfOGrrB3YxlkKtJHTTc/NVXdmJ/6IrN+ugnqxgdtFqUT
VXk99becWks+2DXPD0b2czfrYV+WA6jrymjSK7HN5UejqaqbNCAgpPDfzcPjFyMqRW2OV3GVeVk4
O2XmfQloOsZHBbliwVaHjvdOFrqWYZreIigTDkPh9N/f3jwXoSrPK6xvgA7g7SB2bGKsGp5eIu0+
OCkcC6KeOhcdXfuanMv6fznfGUT3L1xr9PSg4myePhXgSld1WnAas9GcD8BHcYpcdCxu/c7J7i27
tIp9MsaddyVkvVxmUkgCVsK6lee9pYaVNP9VW+rZXduMI115eegNr4Nc2x8ZdMFcvSt3lS5vnLp/
fntlX1q455Nex6ZmRoTur+Cx8+MQCOUPgAuzO32IRyq+5tj81nw9++ymCRIPidS7p7TS5DN4gnq8
Vb4QdaRpaE1gXVQ59zNd03+gFwQlcOFyMnc+cN5uj9Cmmh7EoPfy8PYvvtwLNDFWDZwVGgXodrMn
AT/nGBSL/A6V3AGD9UbdZNTnr1xXl3uBfCWg1Y68LCC3LfyVmoW9JFpT3C2dFqtTAI/xyaDmJA+u
1DGbrvaBUvPHt6d2GXtRcybFB/AC9Z424/m3cOteryezzO7wCvD2lXLN755VatyDTfrNduvqvVqY
WPnQd7cgBK60ROsC6ZY5lpygJ98ZSNXUoc0NjUOrdo1P98one9EPWUXTV1rYJlQmERbl7E/ZXe0g
sjYP4PmqRF0DK1x+MqrcVBCoI6DOQPB6vnpBPvvJAkZhrcbPt0adzB/Gzqs/zt3QfcpyOf5y9F49
vfeTsYA0g6k7ARZElP18UBoB9mDGSXHn51l7I+vEePbRvfodaI2xq8bauBKeXy4lInUIUhsrJhi+
wZoq/JV19ERP3f9xdl47cuNcu74iAcrhVBVb7e52TifCjD1WjhSVrn4/6g38cKkKJfQ3MGbmyCxS
5OLiWm+QNNMfQXzVfjJT/CTNLHb3Z7X8LZdB4XKUZaP+NUqmmfSGACE+qokZv9hg3JFGxxddgPl6
uT/UFSUV+CGmr/wL4ThqrOsKUDykXTbbU/44FKL9Y6fS40qNu9qivzbL7NxiFx8e7ZoO1WFOzbg5
2LZIlE8UljJ3F5Y6G6lMvBG/prwAil5ETv/Fsuv6Z9J5+X+EdAP5iIl2oCFM0R5KVTYTIDYkA56p
nw1AaXpNaXdT3sjI74RZ5LuiDCMHcBu9pX2lKcI44LFd/aPUchYfZD+k0a8IB/XQD5VcfsEIbUyf
KdpvuuRdfQcKi9Yi4UcdHd3pK60RbTCBkMVx0JKS7K0Y3QshW/1Q13b61k/+OtSrwyFsFnpel5+c
3m+B31oUB8JOHFRWTfLPMP6nIH8+3f/iV8+iZSQuc1BTtMKoDl+OlCVWanoVhAmBw5EPljf+ZjuR
dTZTXduPzSQhgwzDozt57UZ8vTo8ryNTxkdkhCzCXs2xQLPeHWqWc7Q698wJU08dON+N2/zWKDQM
ELHCmWJpH17OD8s8KKdzoTy4UdM91+7YP4VV6rz1GmQuFNcRAF5uQ/5cjjKDf1RAHysP6E0nz001
1o95Z22hsm7MxaJDQJxZbkEAb5ejQKEiPc4kSj/YBjinpGrq9zp4Hvt8f09cxW6AuXDiaVFptNTg
OF2Og3bGgCJHGgWKrfY/kd53f+Bs0OFpIMfJ+TRUhehPs5WFW/f8jRMGyoYxYVzynzW+lBfpQuoJ
FQh47QIzS+Iam/mipSTQel6yEexuLadOUZLcksPMY3U1zYx37AjKNBCd4/VHWmV6tbcqm5Bzfz1v
DURxA7k2FIpUIsjlQHWYxUUehgzkYaaN8Ik402pOv7x9FIrHrxyVpZyymg50TxSDiyEKpKP85zV6
esj0cIuJdCNc0LP8v0Hc1XEivsPAA51LuLCnH4UnKLRZoezP0J7jf5qkM3aNZmeESJOX/NsnuICs
SCggT151m1U6E710KyDDtfCODjei3+AOvvHKurX5CRjQKVAxghWzCogR0h59E7dxoDmTOFZ9JfdN
/dFqntGtN485ifDGtG5sehsFwoVyitELjJXL3UF7CcNLS00CPTTNfzyjxXd1HO1ZP9DgmLYMIW58
QPJZytYLTp16/LJX/0om2jGCmOW5STAlVL6GGekPfDDrfZ979G/UVDuHlG2/pmmcRhsTvXEMCFro
xOL1Avr/iptXKo3QMrS6IDkMZ1QceLpYVbRxqm8sJ3ZOJJz0vGEvrFv4DTKMXZpAPINYqZ1Ua/xl
ABw71G3ivn0+QPWQiIUQQyllDbRoYk0OcnLSYPRk85zVpfoTPFK6EYxff/BF+oeP80L7W5rfgLbW
9+TYESunKk1hMzkKfhDwzYb4IKylszG6DkpJxHAaX3NkKFa06ztlGsmcgL3T+xyVEY/zZhB7qduU
3uZ4QHbTSF0KSzq6Yuq+NWtPe6zquOv2oezoAKngfr5Wrlf+kUXTQ7nxEvPLDDjKfEpbJTH9GRvi
ud1FfWrZn+CykwUWWW/pR9uz2u5sF0bevC+z2fgWRyqw/vth4OpdxgULBwEINA0GLANW6TCwfm7i
aMBiFT9StHLEtBf4DPqToj4nstjiF17vJ1IPzJdIHqhHwA2/PDB1TMckRVYlECVcATVFlwZTw9yH
s7+FC7k+IAyF2hpdRRyYeHNeDgWRMWzaGpZVj1brsbXy6FRX5e/7y3cd32heeCg6gHNk764FWFuz
ssNcQQV1KtzkYHqD+DHobv6uKiptjw7s8JzF/Zby46uZ0+UmZv9S3luQAVyEa5JxZ2ZTQ10DroPI
ctv2s0GJxLO+wFMelKQUaexn5uB5z9qox8V7FLJqE6ihJVBQKFU1jD/jVNqrX5VUz+YfZdUrT202
l7o/snuTHeXu9rNp9tO7aoRbCFnKRbErEmUp/KEOdZSNzBK2n1qJ7HtWIXPrCxSJ+1McKcXW0/c6
xELrX2QEqI6BJFoXDup2IEm02zaweqe2/NitusdJj9UPMuqmr2pfy1PXpfPwWMSTMDbCxTXAlkyU
o4HhHDULjdhxuYk0PZtyI+1p8ZqIse0HxxS0i4xZsT/WqSezLzLJa/GuyRq3+sjST9GDJrPyPwDd
sfHNbsSk79SEEuzH+/vuenMvTl9QzMl/qF6u0xOPjNXrXFEE0qBeo09iftHQdfhzf5Tr0wqrzAM5
TcOZztnauiRx+gT8FlxOZwLC79dARpPdGPGoPUM/nbe8Kq5j0YLNQGsaju7C3FstNnovujGHHCas
g+vyYLoK7R4L+Gy9m2N7/GZlhvXr/gxvDslntdlcRKU15s6t83b00IAOWly9dt2g2odGuP2xKmv3
0KTZlvnRzfEWiSKwQ1yqa5KgjVVCgRwYQWkcwvqYDnH4Vc/K4gONX66YpKWNsnGx3hiS2g3e7TDr
OUDrJLNqVY13TlIHIKTFWYnbdqcbbXzGTr3dZ4jubOTnNzYNDHU0dcgbQL+utVIQMqtF48Z1YE5Z
e9S0fHoastZ5FAjZbR3P5SV4GQgXMivBnaNAcrn2LaYzZ46qLUEY6hEIk1RakwOrwLW/TIinyiAV
tfu+M4fqPbB8eh5ZwbbdWV1nFsfEMNBYtBzRTRjfiaE83N9a11cDa0BnCMQR5QBofpehoxAiyyi1
loHbFBJZXuMgirT5jwJXsRtbijF7OYh6I9++tfh/D7rEjb8SUpRhxdyFsOBUvK2OIi+8vVZGKG+q
WvU/fGeST/dVSZUS4fJT/hpqQljfgCsD1d0stWPJfRHoaiH32Kdv6Z68lqTX35mcnmIudRXoDutp
0ewC3aKVQYi6euI7qoJsZGSEwzPnl8VtsdypfF164Z+pr9zxnT5P0Q/ql2brh3mevlUL2VsUMej0
kcAsLZt1sqrEg9doITT/Gq1IX+moos1d8lY/ZEYBJbQI2sEUB6u5ymA6xRhi5MLLYBYZRqOWKQBr
Os3p/j69sWVIIdRleUlgiIKX39EezFkZlAYcdSSUMzrXM4GvnAMZEnfvD3Xj1loqEqSU5Cwqaefl
UHSF5z42bejftPWBKdRYcte59UapgGXZYPNS10HnbkEwXo4COUoIVCwQLBgaRPiV2niWcyb29+cC
i46/Z7UpKY7T0gK5Qrt7XR8vvN4JgQQPAeZU+fwjAeI+/zSgO4h3RhGVebWbFa7v77nIlIKOb1I3
4uD2s97vyglL0E/qrGGghqnN2B/sJG4VOq0YTT60gzLpf4qsNr4CAqjSE9U2HOb1NFO1nSGtJtrN
aWx8Vs2cV4sASeI+8ZhPUXO1x0ZzD63VACbq8FSwz3E5au1ja/G29ymYlAJFLtKVF1tp5yrxrVRL
nMgXDXDP1BdlqsSnydEjbZ9PaKvuK7c3K4gsZT77Tm+1OThA0XX9T7XqJ+csra4og0TJ1WSno5hd
n0xr6AmxYd9JyHhxU+ymPgIDEeZAVute1+KPfVk41aEjkfR8QxNW9KxxN8ldmaZT/jGKgGiVfj8m
euKnqj72R7Rl7R7vkNAsz2WTO/avstYnCWvMneoHFDRL82OB2BhoaRq9zq/UUiM7cNJKLQ7wMJLw
N7NtrZ0h3NAGLxIaKhX4skdoO5EekmEzUrnHmq/1ZE6RiL67jV3/CIdZUJTOGkRIW8rmzQnb1OHn
RGm33luetE1/HFr8yZ3EVJpzbCoy+eBMKLki6YgfZOsbWPLlJ+Qg9W9RP8Ky9u2kTie5Rzi3039D
IyZqocuGJKvoc+ezlLNnobnbgmEpW/RRsqTEj84tpIMXRmwLHNixf8uLp7njzX4K1bDQfa2ax+Zo
hGqj7DMZJs7XceBu9wfbEPMHsJ+Nw0oh4LQDzTlpPxqDKq7fm1byczaSUocc1Jv1AQke1/k26aX8
mKs5+jJd1or5yVNjkZ86tD/GA+6r3JS+I1u40/7YdGn3kEaV0p1Hre6RdnY8IhV0TzadXwMnKHyD
XG44YnWn/x4Me46+3j+FNyLKIkZAWXVpUV118U22bVFmSs3FkKLQL+YepeeoaryNJOpGkGQcsKQL
2pu6/iqmeCjplthTNkE+ZjCike9GInmSkIV8aiT1FrL0xrToWvJChtUHqGT96IFwMuj4IDYBVLVm
r8ZN+EWHkbPBob3y3SVSUpWjrEOCiMPeGi1v1qE9xjaylcA1vPAD+JjuB/By7WMOsK37J6IjN7+Q
yRbzeapLHB+r1GvYsn0pXeuhNlIre5omN212Xk1DOWi5Dbud0jn6N2T8dPHcTcOU7qIWr9y9nZhF
w2MoDP9Loj5HnbxRjPSz1c1q/MKON7qndJ5t+dAmADb90eohoqpKhyYqQgFusq/gKBQP9/fPUsZd
xfDFCnrZQcg/XIlOap3mtbY5AT43a31RCkcCKo1cWoIWQHQlUxGDLWzwR2psQGOzFPv3/R/w+inX
v4D6AawIXj1gX1c7y4IYMS2uAwGyDra1H2evfgmFkhZ+3oa4Lss489TdpNfWO9dW0vlRlnPd7o1+
0jW/ygqag46rtAaP76hMd7bShfJQmKmwd6jUNfFJhm3yUzbj/FIAN99SB7pxCdoGurvc6ggjAqi5
vGxzFWesoSfbH8Ec+U3V7yskxXaRaN+R7VobucqNnJpmDdsWworGuKtcJUOdV0NsGWUqZ259i129
r9Gwn2ndmPP8yEHaaKstT8711yHDA/sMxIui1TL9v5JcXgdxlciM+JJN6pNuyBKuouiQuc+bM25j
ajBlswsyrrM3duaNEICtD5IrGCTQPl63jZTejhCry2umSr0xR01x34TdFl/mZlyDLEOrjVbsNWKs
NEaUxMM6MKqy3ykCj8i5bJW9q6bjRgi9NSG8LijMY1ZEYX61lEKaEfV/horccGh8Iw21U5mZ/cYX
u7EheQsiXILSkEFBbtW4GaHiothm1YGMwycIGuV3abr/GWiaPZhjFu3vH9/rSUGOoXig8414Yq9L
Fm5apyjwOYL3fJs/5GBVn0ZdTBt58/Wcli4D5XFQTDTY1syVJjIB5qG6EpRjFv67yJQDobHz+lkL
zVDdGaEnf96f13VcXE4XxwzuI6WvdV2z11AJH7JRBmpfNONBmo0czmXbF+ahz/Io8sELOM25chxC
pCVcQ+4yRYbh5/s/4/q8U6ZnzjxLgEVZa4feVtUnNVLbLujLFDfRXDWfQRfrO2pxr+p0yY84tKeN
k3drtReBNa55CsfoPVye+cjT+zCSWgd5ZEinoElVCU7NS5XIx691iM4gSOst4+PXDOIy0ixs+YUy
j+cViPFVuaABxiQzSDQBN2msfPQS2SpfEKSQ8j1Eoj76XHlzPAFBK6lRwUjG3X7WpKJ20FvAZO5y
zZQzVYai/gnw2Uu/J3oLYLnF3TV6P8jOdk88J82fathFCawdisJfErNXvL011Pn4rIRT0m7UZ26c
DtB3yGFzzkhn1jIkYaN4c49vReBaWFvYQz6/L6lebJzB6xi9lJpA1wOOYqe8Vsv/itEdFG0cg6QM
Gp5e+5KModmFJD69rwoj+WYVY36MEHp6lLGTvb2NyuA8AnF7o7qGFMPlZuntoZOjImQwA4Q/lRR9
fNtBQ+r+ObixkHRPgUQAX+HNub6G5kShVRQzip0rZmCMWvFNraW5kQ9eXwZLKX1RtkXla2FXX87F
Hb2oKmOLhSzT6ath9+MTr0P9bFT4Q/wPE7I5Xq9wGR7sl0PFxIpBF6YMevimyBpAOGuMXD/+D6NQ
glxKn/Bo16VIgaJdXBhxH5CG9vuoNgbUa6utSsDNjwOWEhwv2G/qNZdz0dl8ehrXfYD8tndMtUmc
8BqYf9yfy62PszTpXG42AEZXsIdWa9O4c/tgLlrxoev1hDvbqUCPWcpGAeV6KMpNMNroB4L/g5V5
OaFQVo6Y04HgL7XyoTDd7FcodCgTtO82buubQ4EOxmtq6TSulX9hl0a9J8BF8Sz47dAC9mOroTbQ
K1sOoddfCc4npbTXHQfEdvWVAE5NXWUmi2AQyhyTUuW+h0bJ4f5Xur47/j/yC0A5CfGVKEGkj2GK
h8oQSKnLeV/QWDnBs6jUD0nEp+Wd1Jjp/v6Y15ckGTWM6qWDu0CdV/cVeHtIBzljukLY7ye7n3xZ
Notxip4FtmEnR8Wtto7WjYmCmkIxCBVxMrp1Hx0XD9Q8YPgHqtEBZ4wR7c1x9fgQu3bzLqz0LX/D
GxuF5zC6tItoJlLEq0nazgSho3eHQJEwWKSNt5IXVtExbXvvzbcWL29exjz4Kd8TES+3f4bqCESr
YgyEq1dnOAzjAwzSLezPrQWEqmHTdUcrSF1XKS2zh/+QxWPQVJ1d4ReS4Z5TST2ZgkR35JdizvW3
YywW7huVTOh2JJPr7nvZ0+610wYB5wyEbQibEtGaLDezjevq1scCfMOxRueJya0+1mhWKfr13RiE
RtUGWWTrp9JAyx7FoGZj899YRrImyiTmIlpFw+nyY9kTDY+w9tRA1Jp1jqc+28fCrXcJwfHYG6Xc
GO/G1KgDERrBl4P4XjfwpFWpdovQZ6Dis/BnwgULCcHQKh95AFgb9/GtuSGRZZkLr4jS/PJb/kps
RCWihl2hBWNTKQe3xLu7MPPipZpR0G/CTZHk60BCA4AKF4gwWH36GuyTx3nXKAVtMz1zrWeVmude
I9/4XmZF9RACOv2YT+gH3Y9e13F5aYbirsBb11zk2S8nWY1g37CDGgKSbvWgpariR3hYHN88Cg/4
BfZKHk2uuAJhQn9J56zAqNZs5nY60x1CegLBkKZ/8ysXNAgKYIwBIIRi7OV0OhtnjaLlWLeGhAOm
2eH7WVHat6rSgJJi1Wj801hUabZejoIvl5kWGKUFtUtOwwve3IcINftVZb5VmJ07BQg7ZUJwxRAY
1zkUNSkthmc8Bh3wdR9WZInvjJbvHDuu/4e1A+PhEn4Xpe51NzevqECPnToGM+xyX4ZKhhaEs3Vd
Xp/gpYbLICTuJNRrhGApVG0WEyr2bHcFf8tB85WkH082DhKH+7vu1lCw9aGzk3tQoF7tusG1ctOp
mzmoHZeuL5lHLH3IG0N26sE//n7zaCZQDbSAFzlLqCKXm8LTsQ9juVRqVR5SY5Nd7MUwuEfsGt8q
p86mAFaFQjzhAnzImiAu6qwRQzaoQdtG3l7HNnKHulX19uUDuMwZ4p7kZbUG33SIRY81tjxAHMt6
R58dbdwinE9GpmzJO15FIXq5vA+WSg6vBX3N1NYNSCF4lzmBS5n633FMun09JNnH+1/oehRYIIRW
UMVc+Fz7l18oGswsrlsUMttRtCfq/vOT29WwD+8Pc7XtDBzpCKXQmRfw9zqpHmTu5oOSUUpY8CxF
4uENajSY5FjT1ka4uqI4Sg4vbxrh/B8oqcsZSaMY297y+kCmIvxs95ncd/msnSY1745CVFtg+uup
cXSRF6X5Du4JzZjL8eD2Iz+Ra0NAg1k5G5Oe+oOs4+OoiY3TdGtmvEd4liy62pyry5GmBhpgZqlD
kGJGfaClRZswGatjrVX1NzOutl7Er5WCiwLQEpVIlhbpedrx66k5Up0jh2JvEHZxtIthgz86BUJ1
sgqrdy5Yrx+ZnKxHNO08WNW6d6ITOpxmIHNBquMhOBml+c5Qp61TeJUVsMo4ZaBoqfGtLWdVmIoT
R1bSUMYgd6rJn01j3o9VVz3HdTHsWhTXPjlZt8XOvaZOUQnjBjXAD+EKQm/mcvnH2moayGB6IKnN
ex/DVE7F59yAmvupqqBA/Yjc2cyPIKtN/Ym6xYTCS9e44nGI0X8+iLCzQix4WpJqrzW1Fw8xOnMH
3sqc6WYXeMoOeh2FvzrKra5PlTNX/rOVyMozLEVHFSp9kRbtLh5E4p27JHObg8QjuHwnMWbxvk1h
Vad7cuBK+Dz3cuXfGunq2E8aTtsehZ848nGcmIx+31CdCncVRdL2rSUBVge8Bvi85SRcUaiosRc9
6YwRuEiAqoAHdN5DCdbBo1GmYiOoXG8DBgMJDmGL1zrPlssPEuaOMLLZWbSuPfsfo3Ob6GPTDma5
1yPLKE+taYV5QNdy2iLqXNX3mCbvJJAcZCCUv1YpfmOVXpRO2GmkrWv6hpeJM065QNmkbJ+ERANz
ZzW1OFSZHX68H0mvAzYTBWfL0xpOF1O/nDRCwMXomrURVEiG7GDN9g+FXU0bxMfrUMMoqEXhhgLO
ntEuR9Hrecz1MDGDONKn1PcqO2s/U/GsPUaDp450TTGMGynkje+JBxKgX8w9KFasS4qWgh7pNDAo
T8FJ7mYbzS+ajUpp7mp9VLpdjphNBGqP+PNwf1Wv50v0xuyc0tKrl8fqg9aAWWZrMM0AvJZt7Nsq
rSY6nPgKHOIyLkLfbKOm3d8f9PrmABK0MA4pEi/uP6tP6bkSYAY0cHBNnvsgIpNh4PQ/pIW7pUx5
vWGXrjrvGV7aJij91SVlWGPSNnQzUNjE9djQw5cmr78MMxr+Zh9/EQpOzlVvbuyi671KmX1RfyAB
5Bm3dlNfJDyG1AD3MtlAPVI8jva9TMRbAYYURMALLJqYi0jQms+Pp5kKaw2JicFxxW6sjejUmZHl
10iVbnyxa/4+ryjSGGyhXpPaNcxdmDrot7p1g0KNiuZPN/E+2GVAroCs0Ot2ToCfw/BYREXi7MM2
MjQ0zmlHoMliFdZpTCNZP9lGqONFLqmynEsjJFMliosqR1qlxgKss9oy26IeLHvp8ipfKjvESypI
wJjX3bMx9eK8aEovAOclxiBTBwtuBezQbJ8PtpY8lm6ttTscc/GycRWMpw5CltGX+zv+ekMQMRFG
RYFo4WuuP9WAwJEDpSsMUrWSX6OsRsMPRsrn+6NcQ+QXZCIgSHrIbHku68vopblDuEC0wwBZWQ4V
0DEsty0rx5mo6CmHnvGPQBA3sxb4x1DiW/nelQbqPRMIr/5BkW3/oLeZslUZujF9l3IvdkwW4Dy4
Epe/qyrw/ZiRdwiKKQKRwJvZq/2hKYY3g3UWDsYibQASeSmXr457N1VJVGOr+4gkbLbTRiFPSoPQ
y/11vgqanAF4SwvSgtIMFYbL6URDXmFVUlNYoBX84jWxONcQmJ81p+gecbvvtkwZrqIYA6JNArKK
ThDvidW0yHOVuVQoR5qD9J7iDk+fE6pVdeVPSYfadeWU2R+znSd0gNhcG3Hm6uvRUgeyzo3P91sY
fZfTRVE4C5UKfAVm76TfJV1ZNFq8rNxIa24sKzcRee0iBYNQ7erurcoio7uaU8/r4lk55roZCl9P
++oJvbnYOFpGPG7dD9dwZiRKEeqixf7azVvXYdELxbJ7Qtd/HNKx37Vl2mSHso+9D642OprvujL6
k+O5B0wPzN0eWGTt+lhQp99i+vHh/v7WurHWC/MLx1+X/hU2c5drnYk6dgoyzcCwBRwEq48fwtiq
z/dHWfbLRVBk0miyLkhjYjD2cpejjEoPD1OUWiBCkZ27GvGPNgm9QGP7bWyeG1uXovrCWgGVyx2y
OvphOYuCTr0WDKPa7xM7dRBTsZCkVsZiZ5aOsQ81dXpp7WiLIH9rkqAEYYPC7mDoVZaR2oMReW2L
xByySk/AfqeXhYX2q7SH/q33PYQoHoukM4BdFsWYy/UsukmA8NW0oAXDegY/4Jz1vMw3CKA39gad
dbpElJ8XIvuqqKQgmdLwjOF8pHV9Slr9X0uExsYGvPG92HXEmaX+QoNu9b0SETlVovDYi+xeP0RC
rx9BtoJ9Mzpb+FOmO59yHIMOZSTGjbB6c2hS4EUDYDEqWO19bGcKJTQifQF45e/rAkl3Oyu0L7O0
+28q7kiYG3khyGF7S/nwRuTB/2nRjAF5RQV8dR7C1uqSIZy1oAzN/ilKRHzsuy75gQA13q5z81bX
QG5nnvEgLaiCQ1Vc+wkBAtO0RbceZX5H+1Aojdyrc5PivNiDFbx/1m/tmqUKzo6hI4lcxOXebLpI
pfSKm0iEack+LbL4WMVkP/dHeVWEWYUU6nUG9VX4gdzyqytKTKENlNnUAzusHkdEVPJaeTBi5Z2q
Rl8KxTqovfNfY5jvZez9o7Wuj0HGQVoG9NZSd3axvYVPvDVvcGDUEelU8qpa/yBtxB2tTHU6Nl25
s7sweyyg8p7vz/tGkOFaXAojvMQp861SAaVOYznXDbKSaVF8klmUBVGaWIe5nbfgLbc26ULFAzXP
Ql+5sKlqI5vUYSgVFv+/VKj6wIhn+0sYh+lDFnrdW5+GdPKA8ZBMEj8JOavjmIeKas5uZgaikMUL
Bfps76FAuKsUNTyqduO8PYguxS3KWuiMQj9fxWstbbUIazs9wLl5xv3V0PeJar5ZgIZZARABpUTD
kLfv6oO1tpwTOA8UahxFoGyqpftZRxcZTactkesbOxBxenDqKn+W83558mrdCKGZ4a0Ti7L5ODhR
dK7dodqImtpyuaxOHk0NEF3ETN5nV52NvhnMPFKNIJo770Q/IoQ8WYYvUzH1pQ9csGuRvzFiX6ng
b2S9DA+Djg/H/YNwY3dyAMgnuHGJXmtVu7mlZlpVaGvmI08hKqUiDBRYHMB8Bg9nUjPdkmO/tbwo
4prEHDTLr7ph42S0WoXEKKjAcNpbqavvyrqbj/fntSS369UFq7IUuXm7Xamv905bp4YemYFlDb/t
WvncTNYTPYkPXPef3GT6cH+41/foarxXFAcPGcDOPOYuN41TFLoxRbUFFgG5yhOCU33ywPtpHvYd
xYx4n88pWvPOmNUPvNwi9TRE+Pbtsrmty19WnBb2g+LK9kMd9Zb5CcBd4u7DsU+UnVYrhntylMF5
6eA8LVlsMuI2Udq5HnSKmus/+zxFqIhkWSZPYkoyD89Fw/ts2fNU7+o4J3MSOL92D+Gsq9lpioUF
PUDp3eIM77/vfKjrSf/daCYT/xvRKwpxPpyrfTwK83s95Ll7GHW1c/dGq5jAJmE0wYZFfNzd6y1P
Az9VUIn1TSfW0dganfArX777pRX5GO2zpkjjgxGmqDOS2KKmNdTUrY45iJvcn8Ks+OQ6of57ogY9
7HrdnIr9iEENTwc1VL7bNfTUF0utI/2pigsR6JFTlzvZmO3XeArDemfEqnR9NHuN/NzwTvlRKyoV
CbsrzNifiJPwnzQl+52rfZ+dhmTUf/UhnLEdjKHWI3ANqK8WhZf9jHIPlmejF4W6x4JNOhvH7cbm
t8H4k6wsusZXdS16tljbFMgZdz3I0rJ2AP4M9ry/vxtvjbJwUlhjaqJXyWBVUt33BjZ/pOiWr07Q
ohVz2tKJuTUKNzWZF292HiarkNwDn3BmoERBK2S8N/rROYxhv+VtcGsUcIc8qsguFxGVy4M1cLN4
rhIyF0vtP89qNnwv+iw63F+xV63S9fld2CPYDPJZruLFSHmxxWOI2mZpIq88Lc2xp4pXCoVrhEz0
PZ5nAGOEHZPKzhIVy32K1+FvDDSFsddSJxdfnFqXv1VqNOnWr7txV8CPJGoufVwVkM7lIsRTBaQq
BLdqo037rbRa7eOUKo6D2ohl4GeaCtVfhIr+ndohO9KTmwJaDVsP/VufAgk4cPSLrtgVhbizC3IZ
xG4DvS20Z8j38U+0BqyNcsKN1IzeJIp2aEVQuFijuGfXVCiZkAASdn5NaRides7+Lpe93FjWG/NB
QIWKE9yQBRW3ylwgHQAwaUI9iMcBQppVurtCccTGTXRrFJeTyDmB3MNhufx2vWVlJQFXDxKpgSMs
4L4NFeHq/ga+cd8Ba/2/Ua7BfQPKv+2gB0U19E91VtifYJjpfjEk86PWiPpz3ldbj86bUzOhXpEv
eWQQqzeKjLK5iEXB1CpX+orwxnNTOtbGAt7YEABBgYotGQNFj1WciZS4M/VqNII0tPT9EHnfVXUy
9kmVxRuLuByjVRBAbZKCgGPzUmf3XX4qXNpSuwW4BlscMKbS5PZ06CY3E8delNmL3SifynhuH9M2
NL/d/343lpKhmR07nj2y3iWGy2M2pwsYtDygDzkh/IBdwlZB8poqtxQHmBxCHWRg1CQvZ9goUzpW
Xm4GedS+Dy3tT1+4CjQ5eXQV618vSfap8s1plGeC4aeZdihKNvoHF7SIT5K1pwFb+ZEcPiZi+tC1
9rzT5q3zf2sluCBBQ6BUsLD6Ln+iQSvE0SdWgnYW3sTT7B6jFD+1++t9q4BIPZ+/yloEs5jF5TDk
jLSfPGkGIXR6wAJm1aBf3M/mSzJgDH1E1jOS7wp7KPMnfc6onWo6QjZHk16jRjKUOVsPt1sT5/kE
EYJID0R9SdX/wiqCrUcmGRZnUEiMn3HxKA5q6m6JAd0cZZGfpIqIP+AabjJSieqYnxk01tgdK703
j0nftP/DdqaQDxgSkUvevUu4+msuyTxMMaoRJuXZvD80ql2ebMzdN87rdWSAzLEg7IHqMJ/1U3fo
G3pIVW0GplSjY+/Cq/USrTvWVff2ZVuGAlpCKZRWxZrRNCGTnxui4gZWIwtSfZsM3514kwtza0ag
c8BqUd1eSJqX69b3uUwUg1hnWGaKSkdKRSbKLI/8Naw23iy3xoJISIsAzIxG7edyLEim4M9t9htK
3tG7sTHEzhxcJZjayts4bde3E3ki+ZtLJ9KkTL46bFKi2j8qlhVUA/7rVmRWL6XZlScASu6/CShq
v+k7dWMPvlYeLsM5o0LDQA2JmgGd5MsJJkVXao5QLVJHXmYvMyX6/9LEK2t7X8U1LuQND4eY95le
f9ARaZgPYd6K7wMw4X43Cb1vfRXnnA8h6hApKO9hQBEAcwdYiv3CaOYRJeujVVfyfejF1T9pi3TE
TppmPu8yWEKzbxRe9KGtquSDFVvaF4qobevrIg0/1xJvT19X+lQ5bUS2ZTHX08ZHge8KH2RpZa+m
jTRFYgnPDuB9hz59XOPcEvd3WUhEMTuNB1lqfxR9apzzEDsfPCuwxhiTpHiHcV61v/9zruMNv4IM
YbncgA2v0zkF70tblqONO00b7fEndWCWTe7Gu+rWBiNnhHJA41zz1mVMXeIYkrW6HZiJMv4YB13s
cMYozqFIkmCGWuz3fe1tMDxvTI3uGo1hKAHAP9adil7TpWHJBLkkEf3QsAH50Pal/f3++t24sgnW
EIvBOy5J6hqKaInedGfRh0EZRVb7Q3UUHZq9h/x86ucOtgDz2CNgF0WJq5+4ss0oaHMMb31EcXMh
dk2hZ4nvRfSYP2OjXr13q0bPHpw0zAdI+baVBkkyl1GQyjJ3fOQXC2NjS96INFwBVEXgoXLlrFEI
4ziU/BM5SBYO1R7pOTxJOjhKFToab78SWK7Famtpx121BOa5nDNOoUO2ndvHJvTEXikq5ZTVstsY
6sbnB6fOpADeE6fW9hdNn/dYIUzMCtQX6jMtzd3K2UrZbo1CRWmpzzEf0oLL09ypvadHY+kGymyB
hDHwfOn1OdwI0DdGoXLFbcmDiF7Va7Hyr/taL0Red/GCn6JRdezsZDyB29pixd0aha6JDoGdThGN
zMu5TLVnJun/4+w8liS3lbZ9RYygN1uW6e7i9HirDUMzOqJ3oOfVfw/mX/xTLEYxSjonpMUohAII
JBKZr0lALZVuj68tMqXPdTXtWUDcZvESbslNzWfhGl37Pc5mRnGXg0uZvaCQqmZfzHh+dowFMlmc
HJPQPtGn/vf+MZVBdRV0QUbRpwFHiNDBGhJfOzZy8l5mXRwiO8dTiT9knOXvrig1dCViPtv9ATfW
kvwAbA+8HWgSa8rkMBTgk9JBuaCWnhxq00iPSWsXOyf3dhQkayV6AOo8mIm1shWEEhDd/eJcDCRK
zl7UF1BnKZw9OhfoERbVDbIQmhfrLyas1ulIrr1LRPH0Q1hN+jmBNPH4KNAxSZwk4w562upeHMQw
6XNIvc+R9cke/OPfdkZz9OG5wJPlywC4AOy7BgUmKZpmLQiUC3CA6MPUO9M5X7Lsy38YBVt4CaqU
M1pFhVFYM3pPaXjp2r5+XlxshWIeqg+3dui6ENkoHPMgI5W/Pq9kBFGNjHZ4WaBW+9MCbnmMyj2b
kdujA8YA2jQgElho8FauR7HnrvOa3vEgWiZmclFHYbyvo8h4nUHXaGdz9rxPD68eqAb5wKfKxDt4
9QpGMgMrNSqxF3Br7kuoZsPRboy9XX176wFQoTUGkwCUqLpGT2ER1Q9JXoSXeKkUUsY5PQ9znV1G
Pd1zmdw4pmRZPIFgUEvW4Lr74BlN5ZpZeAmxd/uHdmPytq4adwfvujkKTWJoauxsHnfXH8oLvWoZ
nSZEpLDpcL6Im2cVuaLP9z/O5rJRK5N1a1rc605f6sa4gtaMgpNdeFL1KD5byZK/jrL++vhQAAhA
38mjRFi4nlCse0VldF3IJ2nag6YP7qEMHayVu3wPqrC1doQFHo6/i4Dr0pLVtWNXqzTXSjzr37rL
mJwXPdnTUtlaO3pelMo5Sfx9tQ+yRuviUSFXjEOnfo4qj7sntjEqG8v+5f7abU2I2ABAgVQLXdvV
ZhgsXYEkO4eXDHE+AOyJdXbyoX88ZmPWw3Ut6eY4MKwikBphyegmBj3JeMm+ZuX0BXSzvpNibwUg
5Kvk7cOy8Vq53gaDYhZJ3iThpakN5Yk+XfZWq+LETwa1+OSoS/n8+NJReOEGY3/TL5RL+0eyFSM6
WLeA8y6dnVafBic2XgkTey49Wx8Ifg/IUjjmElh6PYoNlndIcUG9UM6YTguOPRfTXLyP9+eyteMc
ejM0y1GLBLB1PQoe3vQl2zG8GIOWHCMcrl8jExHMBuPZ8/2hNieEDIpsGv9uWF8PZYoKJVyPoQCG
639XlZiDBFzT3rptzuiPYVZBQWBTlRbdQlCoOv1VTax3SuXFT7WClfT9CW3tOw6QbASSl7DHrycU
aSGyR60eXvq2+zIYTvoUKdPoi2roToix5v794bYmhmQoh4imICoYqw0xz3ioWIXJbZ6Zzue2z5pv
FRyf/BjiiLUzNblI1+mwtFFF4ZXXBKqCayZWh+AaNLMhChbHEqeZiuav1urDn0U6laacIQ/TaXCQ
4bw/x409gjAWhEpCOnCUNaJvGBfoR8OAciVqg6eS4PW+mxzj18OjUEXnzgBZC+V6jXi1lK7INRDR
lzhe8EWjIHFKukp/fC6yWAbVVuoDU3u83h5jI0IqM8xFQ6dKBqPxNWrUZAfoubFigE8cUINY+VDa
NK5Hcaaodlssey7hkg7Ynk7qyRZO9/jZxT4HhCIxAv2EtfijNddNVlEbuKCEOAVujB1GiLLpjurK
1lzoEgGzhFrB/1YrlixplHRa41yKxRz8anTDU2ftorpvzxFib7wjOLAsmLp+E3nIPdoa1tig9Rf8
GMvKe6U/657yuFMfvmT578OxBh1Epsp3uv44OLzkuaLW2KI6k3FUWyQ7uP2rnWXbmhBMWSIrihbc
gqt0uK11K/cMRsFl1/Vj1FAO3oBzaIVZ9c6evo0LTEUmdRyc34KH1xNSJmXU9Zg9Pffutz5TLkPc
/BM5/Wsxc5KKud0p0W1OTYqf0aGkTrPe3UqHEckyMbW4VPXD5I7DJ7fRrTe50TnH+0Fhbyi5Of+4
1WsNXbEskwdJUefPkz5ivF645VObx8nOrG4vDjY39itQJgDc3SD7taZZiiJzbFT+rQ+WI/5Bd/p7
1LqtD5jon/vTuj1TciwQHpIFzSW/ig+FnTuekLW7RPEaH0SROPXtshe3NxaPPpHMIkDjkLyutmDf
T57imZNzqSDBLwf0gq3DME6VfqSK6e6cqq3BiMlkCWSU+G2tchYEhd20jWznEkVT7iuAm/w8X37h
VG08HPboI7Ph+U7sd2ob13sCPWVPjLHuXmZK0gc1d4azoHe9c6g2PhEoYblyFKB4pa+ihGiwLmri
xb2A2vcOM1puR0VU/3t4H9CQ4jKSgg88alf7gMt+THKdWoAmOsXvqq54zit9z/ngNyf8OnHg1ScV
wenaUMVdJ/wjzuXKiDnZBZfoRVzKcUg/CiDsn0dM8my/0WeUcDynT98qGSfrmC35FB9qBPShCRuN
rXPoCv4VLcfY+7s5LrV+EE64tL49drpzYQfWHzSvX5a/I+Ju+CtH7E7pfDUxlCr08W6Mk+9xJbT2
ALIcuan7qyi31r3prXIwJJGkkJfLE5pcvLhMQ1udEmMaXsbZXj5kRfgFgt1EWT7J3rVtkv+8P/zG
zoeSRCFZVkbBJK9ilFm6YW9aLY7NHvQ90dTpOUaQO4hy+9fjI8nGGzg3yHu8ea93/uCGxhzLh5tq
4pLpDqpyomrtUBmF1n1/qI3tTyJGYxGpAWAo6zwpdNPOVJNSuShREZ1CzMOeWIOHZV4pR4CQR8dA
rh/YuusJhUJflLpMlItRi/ns9jU8tSb6YXbqnhjj1ny4q6i22nS2yWSvRxqMosiL2VYuVFvd44CG
hgViCPL9zrptbQY+jFRDhXhIgfd6HDoycd1VcRQ4TlUdl6ItvzpuVD0vizM+3f9EG2gLthw9SR67
JMyU/q/HMhploSYrEItBEZHY+1EY1Ze51jFTzeFr206s+nZZflTK7glFzS/xNO/VRrZ/A/OkEcUB
4Bl5/RvIOBqhgW25GLnd/muFXfOjn9Xl6KIMe85D2/O1sA2fskI4x9HVxQe377RDSgTfef//7nmu
ogDNSslZodggr9XrX+J0VqoiZd8EC8If+cFEE8D7An0zjc/zpKbm32o+hT9rc1aWl66N0AapyXCw
ntTSUgmPJIUIV2EprKPSOQ+58rlNZgVZ2RgGznGBOqJdAGcqX6DFeN07nGub5NNo90p/tDsTinjW
qFVzyLvCaS3fmZ2mBwAs1EsN3EB/C8WeWKqGiThZXuLl30eznr6kwhDpoXMxUvC1bgqboxEmeEPb
PGONszKpvxtTtrO8qL2YlM+wXakD+I3SiOUNhqpx8Tkp6nJ4X49L9KEcusi6aEVox4e5KL3PcZpP
2iHUo8wLDHy36q/5PKvlASiTMvq5EXt14bc8OrMvFmym8mkgZ6iOPFxi/FLCrO4OYRV74FC1aezP
lduVyqsxOnn+5NatnV1mx+omf7IKTfMtRedVYLo9jrmILRizP9I7cZ4hU3SR61MDFP+kqlZ4Z1qH
nUdapU0hv27SprQ8VG5BtzRXy3Z+78x51nzQRVWWX5VJTAaCDp0z/8rMNMpPuaYL7d0E8cnxU5D0
tXacUycsT0A84sp3o8SZnlqrwJvyaNeRZQbobxX5q5t4SX2M9MXiIbvYubanxb8RYrBJp7BPYkJx
f50BRWWB6USohRdpaxxgPBMBVYj6nezn9z5e7XOwptCzqOAhuLkWDIDYquRxWyvgA3Ut0HOz+5LG
2nhIQgnxBi0xvCBTqX1I5sV7t9Rq/xkzyOz9/dizNVccv4EQyksPbdbrw1ZPRoNpoBdeHCTZDhpl
8VOqN+NOMN0ahdc6WGTE8KXK9PUoptbY2uJxs9pp7H6KijCmTdtUOw2ZjZAtIUjUA4B3UCLXr0cx
9BIRZT2LgiIMIRZ4lf5JdrdfYy1S93hLGzMCtUGPhJ6zA1xsFS7LThTLEirKJVQJ0Qc9HD7j0yD2
7Ax/58CrTQLgGtkO3tNARNYSVanTZbNrME4yLK/o0hwUO0r9tIzfEB1f2sl7TlX3yIvnzTQmb2cj
emldDCXbPnqX2/lRAGPptPkJQd9zWRR/dXlzxnTslBWQICKlOszqdLTaufITw9y51jZes8A1JesJ
UAMrtLqpkanNJgS1owC45veekO9TRVaORiteC4N/VvbjrEAOrGzUU8WjdrzGbxYwu/ATF1FgWHHn
m4U2v5BpDTsFga2rkgHkRW3Jh/O68ec1iT2FUxkFqotbTVikT3GeQx4DK2jZb+1wGLGVcX+KtsTZ
0H4/9s7OFbm1+VhTLkjKEqCzVyub15FRJPEcBXBMtH8SLes1vxFAuR6ODWBgZRODciiYu9WppT6O
1drCB4zRqDmmmdDwg4j2tDw3J8Mx4mGDLtVNq2QelFFbqjAK8tGMqEtV0E58Hb/b4/3Z3G5HKjj8
haispP6toVYVgvL2oJpJoDaDnZ+ov5QYoS4ZSoCR3jvp+3z04o9GibjJzjrexiXUTCD/o7FPZYz6
znVcAlCaQ4yvskC3jBdShOwJiU+H3HVP/u228iFZ1BJCBDz3tp6DU0CnugC7goTbfzjUqiYK32yc
5L2jTTPWnAM0o51TvjUmu4SDDiaXdHm1SZZQba2licqg5jN+mHNNJIfe7JCtavLeeidfmh/uf8jb
DcMX/C3ehRAhxb9V6HVS1wBeXCKHYWr9j9Bu1JdMK/M9Pefbr0a5gPc8rXBOGfpQ11+N3E7rhsQu
EUQbPayXB5tnszc9VWr9eCEEpiMcY2mRw1Fb595lmhnaXDMUJjlh9TJrSTg9jV1W7ByBjSkBuUCZ
l0KmKjtf11NKS5EBWtC5tKJZ8Q2rTk6VlvdgzvQ92MLtR6INBYYJzD6lRXRsr4eCXaFoC5LiwQBH
7idVF+/JBZGxJ4dwUzGgbASqi8gBhJUm9epo1ejjglWdx0BTFqwBHWTDjNcm1sfML62o+gFxL05f
l6Yohqd+FCFGQHUp9rwVbiYr8ZvkTpR+pG/M2nYutbB/W2AmBDlW1hpcuU5D8g1m/sP4PQmuZghO
uC3b5auGr4ObQh1xsQZqVo/HfkrnT22/NEG86Mq3+6fs5lyDSJZWerSJECcEpXH9AU1vafQ+N4bA
LOzom8i9IfLBIWFB3Vs9tSMU8R82cJEgaFAN8LhQu7nJqbBUqLqy0YdA6Gn9FlPb0s/UenpUcAKj
E5tgjDomfXM+wvXEQhczM1uYQzDQRayf1XwpPiaohe3pDm8soAOml/hE31zSDa/HaTCE0dTFGAPT
aOmBKENnPsUi7yM/7dxuRv5sj3IoP8lVrsjM+FjUeDAjQPBhFYrHuqgV0csRG6//X6615fMwaNNT
bkVIdRla/KPkHXdI9HlITvd3y01kkUPz9HXooHKHr/F2jVPhDsydHVh4cjybuki+CoyTnizR7JER
t4ci8hOTiWPrZ5O6OJ09x8MY9KGNJ32tVkZxWvJcfaMly16hbuNko3cP9IrUBHjcGgMTJRFHu2nH
IKts42+97MygJ+E/Pr56kEHwHZUoL0AP11uFEotNGUPBYrrQU3z4Yr3kPW2OTv2mUhAP+v74cKgO
UuyBMeahGHA9XK5PdTyZIYXNSHKJna451+H4fVy6PWXFrTOA3Dcla0lStdY6ZTCOkU5LsylQl2n5
CRqs/nuIZm18Rss3T856nZbazk7cHBIQo5QZBxuz1muntT6MpZVPQUSZ/jk3VGH7pZdaf3X1XOQY
iEWk5/9hPX87pUuVI2fd8sy1RE1tJ50CuxyKn7Y2z2dqMWiBjVG7dwPcXniUIgGc8pim1kpL4/rb
MYrTkFJNQaf36SFViNG+Isr4uee9+2EqneFt3pXi4KZG9VTV9V6reivG0O4ifZZ4oJt6gWYtxdBR
bg2isRmw8gqLp66oshcx/zR7mpd+69LsBVyoLzurfFsvkcxaPinCCLJKup56PRYogs1s26lppu6C
cXzcHCoDBYpDOUThv5EaDYlvRqJ8H7Xt8EFTTL+m4FAeHv7cvC35DWQ2QCy91c04N9K3E18eLuG0
PjfDgt2mkvwarLB/vj/SxmLL9BMnOp3UGijm9cdOYh0ajJNMAS4z84uSmMaPuGmrcyEm7W0ZDj3c
HUU/kevtocQ34h6C7NL4nSyAV/xqm1VeqhpUYSdeEvVwmowuPfdZKHb8BzZCOVko6ihEIdkHWc0P
P/ai5tKfgqbu6lOpVeW7zunHEzldsnPrb+weqbPqguKQBSJz3alVUkzOlDICXiHsafqo523l+ODd
0tepyJTx0IaxKH0jnuEvGhM+aAfFgCJ1ziM6uzs76Pa7En0lmZ6iDkD89W+psQrQ3DhiJ6viZ+n1
X3vXfmnH6ZuAAeBTXPZDs/9yfy/dftHrMeWf/9GAx5e38KjADYEycEBrcImIQTTJzo69/aK8ral0
0NcF333DrnLbKMFRWF7OTuF8rZvW+MvM0ibxQzec/nd/RptjgRiVNvA6+2e1R7VIkNegExNgazYe
VHOcTlSulcMYe49HeMmaobNl0BLill7ljEbi5GWkM6087JTnOUnzZ1styvPkunt7Y+M70VmVBQqE
SSm8rM4Eef08FfHIiyaJs3NLnfGS51W0g2uSa3OdKjIhtFjorxBYbrjp7jy3Rq5OY9A5MBfyEmpo
/K5W1cyfqrhCwm5XS2t7XtxdHEL8zNbeH7bSdLrasYTdyM2UICDxphqadAeEvbkngGFQc6Q2xyG7
3uVsBLwCkJUJRI9e1aBEExz/GuCyUT5MMUGBT0rw0lul2Ew94nqoKFTd2KQ2EHS96JGOBBrW0Ck+
3d/kt+kM1Qdk2+HQsWy8JK5HKXie1WWljUFjDmBnrM7HdDw7tHhe+0XPC+k/DEe92QXWIuES8uf8
ESW0cjR6G1p3kIyp+0qHb3zfTrrz76BqyjPlpXlnvK1dgb4adxxpKH/Xr8dzKhuJsWyYgrChve/X
iL9kfuL27ePLyH8fCg1tY4L/OncwZgGEq1bmwEBI1XnjthAWj7nbjC2jjUuCmpWWVS/3F3NjcvJZ
BBQSjX+o63Kz/rGYNKgprmSDGlAIB2McNt8TRBzO9wfZ2PHkRS56ZhRCuFFWJYEmbGeql0INzFrD
W9iO7Q86z68Xs3HrPd+H2+QTOpVkKctqH8+9VWxakoUOZCQGkMV2fp7slBEyN1lOuMLY0kI2GdE7
HvtDmijJj1lYe+Y3W5P98wesTkNe9lpYxv0QtA3MfCdVUt8YlOm9olXTf/h4fw61+njVUICByroh
IOuk4+3Fhm9keJHe/3obmYCEAZNNo5NOF3C9orPrjJqYhyBz3elQs2P8McL9tGjn/FDG2t9pn3p+
29k7u2Zra/457mohae8voRjHIdCslDaj0WSvWD/vQfk3bhkJCAHcwP5EM3y1hobCrW/GFHRMjLiP
JLnxMbS1EP5SFf1PUYfQ70XjHh9fUu7P3zuUYtm6mBoj7TUPLoUrr+jy73Pel4GZDt37lG76mUu+
PSR2G72nefcwUlTiXyAhYz2MRAc5yfV5V13ch0XOdBWqxS9RNHx3h1o8J/RDdxLI32oXq/sbdXsJ
PUQwiw+52jejXaSlmVBvSc1ietKTbgL+IHIUdgvPPRbRoh2G0sCsIjfbp6QqvbPpxt5TGlFeMKa2
O2mR554Ad6mk3Z1zDhexR839ncXe/Eao2WBuyTHoVV0vRz2nkGvMeEQ8uqt9VyuK19qk1OBmzdHr
jAir2cQ6oh9Vn/OKBztmcfoF0w0d7bVOOS12Vn++vzW2wgfUQ6oC1OSAQa+yA60tLE306hCktRU9
KW4af9EX1KAW4e3xJDa3vuyeEfqpgq8l+udCdQv0ncfAWShhnpOpKCpQDlEufNfqjFfVVsLxkE7x
ngrr1snmiuPtRk9fMpCuVx3OeGo6c8brdLTb5mQJbId8a7IWc6ertTkQhRZZIAaytC5a2UqrLrpb
jIHrIgiR4tTnCyplO2F4I//hvS+Vx3hrkySsNlEHxzaZPXMMqsRGsmsyFzK6tqsSn7iJ7ZQt1HaP
VrW1TaQfCJ+NVbzR2LIEEBtXFv3mUfO+DOowc8yS+Y1GYrQThzen57ITJU8CzNMqQqZloZV9Hg5B
6ZXqWyMdEWkpdLvw1SHGDn6K91pAm18NYK9kxUqLRnnF/5GT1IOtaHmVyuLFkoRPw7zkmT/0WbWn
Ibs1M3CqNKkhk+IXtfpwcMaQwB473rggV3TfyjRy8d6Yp+9IT5r1uVLaeqecsDkkeQmJP2+1G05X
vuDmpSQ8nbxYi5/E2Jefk0Z1A3TPjY8t/aCdE7A5niRSgBWlQPxbPfiPtRSDyKp44gVQCPOoNul8
rjGSeFHs0j6Y7vjpfvDaHg0CK4ADiU5a3S56bXmRHQNHNQp03PEyXr40rdJC47HxG2wXdWe8rZ1C
o0Q+ogBCUe663inRUmp24np8QKT/Nb8eS2oUc2r+p2G4NqnswdNfW3mWfZkuXkIHT7Rd9jHT2ukd
CpvTf/lU4HQIIUCQgNBfT2aO7WGpR1ojmtJFfymxnZ5s10l+5ONYfR+zbK95vLl4Ep7KSxcs9hrg
q4XCHAfiSNCOc5aelbDDraId1fbr/U2xFapk8JDveDSG132XTK+8Mc7jKeDudE92mdVnhGm7C8ZW
1uH+UJv77/8PtX7vxrluLVZJ+RVdwORAt6f2I61/o4bmS9PtKhpv3Z+sH68mHvJsjlX4WDxMVeqG
3Ye0nP08lnV/8lpcSQdUMk4zLKfIbymRnx6fI28o+tWMyZk2rreJXvYwR1LOmItR12lsu+jYjkJ/
s8TgKnyEJPdsQ7deVJwwKWhF4x8Rk+sBa6sKlWHh+wHh0bFwKTn8fjVo+bcubPJPI7yfU57NygfJ
TRR+rZTu//7DlKUCFP0trqA1iSp2LWWqc5oXrhpjujEUnqocnJESwAgu1fErIW1T74+5tWtBBxBd
pMEo8kfXs1ZKS+khmUxBP0b6fAizzP5AgpS+rXKuyZ19u3UUofmCBvNwyuE+uh4sCwtvClU6Fiou
HJ8FZ0Q5qIoz7mV8m+NIs2UCB9nl+jagLUlB3hYUs3MNQGuJW2UfD2InkG09GCFv0t8lpQb7sLoF
UhEbTT0wihPNw3t3matz32B0g/FMuhy1zqhexqUkvyzscKeEvvHVoCei4YI3J+3Qtb5/nanOQhJP
NwIgBIfDsw5Y7kT+orTF4xsEwjSLCDiWy3UNVFFElBsOXZ6AZYi+OUYxF36uFM4pLfXu6eHNSD9N
KioA9wHuv4o01tzhu6Ml5HjhEiEqF41ZdVZydYkvujaIvaLQRmADDQkbHJ85aR+0SsCi0Z0BRsHO
Dk2huYeQDOonyYKm+71q9v9If6nlyXZzx9wpjW7sT443iFWuI4wg100HVR1qV4s46GgGZ88NOnuv
UVnlO/n65igUh7hqcZxD3eP6tNFUEsrSsUnAVhQvWadHh7lM9vTLN7ai5OQC+YE/o2OgeT1K6RRL
WYp+Ciph2d9mvWxfWzAI35S2ZMD7+2Pj3uPJSC2UpiOhek1HyMw2Eortse17B0XypDOtgxda6HyP
SSr0o9tY2uOHnPGkJBiVX/qdqz3ielOCDSbPDvr0bYjnY24vb3Qjb4pDD2zkx8DbJ/HLoo6LA/Ww
bk+7a2t5JYMbVRspwP/bSfSPxFaDXtMoYkZBIK+Lj2OFPugxbrBBPdhtNzU7cWXjRFBD/w0TpqSO
oMX1x6T8kLozmP8gE96AoGPcKv0BK9ClOmmZPjcvdZXW75yk1qLz/U+7sVnlS4iITR0fyebV0S+k
d6HtziocH6M4dqqTvnNa23oUlo5OK2edK+h3IWB9w6Z4gtKct1TwiqIOCtXszlYsFQfVwd0Z6haa
zFi4qxPK+HKUh1ZrOZitwESz04LEosDnLzEVUnAkET6qYJHeoNIwT6diTAvzQAEIKfgyLBVJE+xi
Px20dk9VYWuFCawyr8cWBvrl9bdN59mOqUipgUAK0O9TdTjpSrfnd3U7CtpbksEMmgvbyjXSXAhr
KvK0V4MRLb23vdK5z5qDSv/93XIbCMDukqLJ4h5viPV39OIG3DkV2mD2QBZMnlb8aqp5+qu2lQ4z
ezP55/54G7OCsyrrD0iaY+os//yPU1g1uHXSgzaDea7mf9Henefj7BnxXmJ/m1Jw7VFdofwMi/4G
0pG0OqYaelkGSZUYr4PdR2/sUolf8jRqPqR5aJ3S2NKfDGHVD58/gJO6lM7iq0lwx/UMh97RmtIs
RVCkYXpyrIUOPCIs3udHF1LiM9ExJ9nEaWaNz8kMa4YBi1NlbzfpGcjo+LoYzt5TTG7l63InhE48
iSTBBdjRmn2i2UJ46tg3gaXY3bHIndwXs/UJIJZJ9aM8OSis+W1TfuAz/Lo/wQ1wA2NLgX5SChri
6uqtbonU7OtZbQJXGcF5x5IoUriOOMIy7f2y6vqzkVfOkTq8d7RyrfpsoL31+NcEl0p+SD+DS3mN
GDVGCkFLrbRcyksy+SJR++xgL226Z/R2exBl9iRTNt7WVL9XByNxQI+1hdLRV9Odb1DMuvloR7Pr
YRdqzv0xjfRmeX9/iW+vRF7Y5E/U3Kkh3LjZ1pk5KWZTQwejWfIerFXl/C3mNKuPU0HrdyeO345G
+gsHmScSyRrsrOuDQVeoLIgKvzsX1ZPRLfr7nlCNmkq5W6ffGEvWRRCfxWZdil5fj2U1kWdGSVYF
7pjGz7adwjoti/xZWXRt56a/jWhk2tBz0EfjxYn08PVQCeFsZIWroFKb9mjVU/d56fP24/1Pdbs9
GAVpX7gBklrnrbaHqjdlGMHhDDJHE8eyspU3keUOgbskysdCtNoOlmJjPJ7NBBZuHiwO1+ZyWbyE
c68ndWCIzkToPzHy2VeGCHdvQAJZeogsmJ3nhyfJYLwfgA/JRHF14iGPN4WR2TWXg4Pgbbf0lw54
xSms+/ZNVtvhzv6//XS/pWOYo3TLhaxw/enyLO4pFdNVw3jte2p0yjmam+l0f1K3NxGtMCkyBmra
RnButT/sEl2QzgCVoqatdohRGPhYo7XyVEbzD0eL88ivndI90XH+en/g2zNA5sCLlpcedVy47Nez
KyNTDxFfAYZQlMPy1uNh9CVttHl4B1bWePgUEKC59eAESQzn+sBNzphUUM6p2TVRFhhzEh8aSuU7
z9rbD/b/xLPk2xac5loYOW8yUFpuvATlOEXTEUqOmx4QNJ+8h3ciZFkQDiDqAd7wsLxeuyQcM7yQ
ej1Ip6l4U7jxcGiduHmfYUF6HLgrd95jt98KtAN4eprKyJNQHbweT7Gi1MaCyAgKW9E9rFSNsj5M
oWi8Z7My7Q+P7gy8FjhmQGIoRiCJcj2aJQBhp5zrwBGtfliQBDhH1hS/7XJV2VnIjVucVIhUGawn
h/pGMVuMnZ57c9wF5RDmz26qQ6LK4u5Xp8NXR6UwGY5V5yhHCUZ7l/V1UkI1MWbjdH/KGzsHhDEq
xJJISRVmdRgUL40V/qQH+ZBVx67LM+XVRgdL7ISU2w+J1BXoUhIyKTWzfmUmepiWjZUNAWpDJk0o
nTYiKHjlJe5GbedOuJ0T+CmKBdSSoM/wHrv+jEAqtKJHKTowlsg76mo9njLSE//+yt2+ZFGOk5xQ
ehmSmLbaLBgvpfqADW3QTJXy1xi70/yuoxz4lLVj9AXIW6ogsmzNe3Yd8tdfp55w1KiHQC3kpQA3
7np2ht1ojqjqKVjGRntq6358gh2cndoqy94paCk+fAQRdiNwwV4H58nddz1e52SiJcUjgsVzgRxD
2p3LtjWPCTyandT25sMh3AOqHgIBp4KH7eqeG8rJGmHxGCwpMuKDNjrndkiyR7e8HIX3Bzwy0i4u
8esJxVZhCzBLRsA76V/NbVxfH+qHbzcGkZhBiSIldK1Lt9RTGtQ6ExuiaxU3X+rCEUV0SJ24SJ60
ubL/V/SVN72Nsi4rn7PayN2dRGVjLZH0AwZMaUA+YVeRs6lSkQ15pgYePcNzpyruwdBjbafOeLMZ
pUS6dPmj4mHw5lp9sYijAc3QU4OB9tBrYk5w4TSlbV9N0SSn2R6j8dHtyFRAs5K9UninP7o63Ek4
1DhomFqAe0P8Aw8f90OhZu7botKzv+6f8I0l5I0sPyEbxr6RnOssHgJ16GpBL7BnDOcO5CdEnZ27
e2MJ8faiiQUXDiOxtcZNYhYhOYJjBVlrT5/jRNUOU1UpRxwBi5MzGvn5/qxuIjGNGN79pAk2STmP
8evtH3bx7I1zawWIctveKTNqjaqbW4P61xZnSF/uD3e7iFzfADooCvFUpLhxPZynNkbXpZoVeGQM
uCgKHfNx2ErNj/8wDvGQni8oTBQursdRkwlVTRhXQa+lw7siEWSRddXuXGO3H4tCG5ADGpW8NQgf
16OEDUzXus7tgIP3ItSiOypWHTSaqxzTtPl+f0obX4obxiY55l6WNJjrwdTQbRK3GixpX50cDU/J
8bXUS2T7mz2m0cZQuLBQliX+crWs0WxR2LneYM9OkCsAin4VhlPif1GrKE4nPWWpnURrYxlpBAL1
oXJCW3AN2+uH2Mks5OEDm3r2heaXI3zN6/InO1KBp3dC2WtVbEyQRSSrI2Lw//WTpvbIoGy7dgO7
6sdzp6T9OcxxMxsH8TCiSHazJEUBGS4oYmuYZ2fnVq3OI0MlHR4fKLQZwwlNG2w4qypXd+L81sSA
3UlYCuVrxr3eJEhDlMPc216ghyjo9ErzKXGS/LnV9Z2DvDEQE5OSdFyZcP9XeUCiichOhyEMCigK
wZS4g3XqRCu+ml2k7NnpbQ4G0pG/AFiCeryeFdyyvIjxK0SNwq5NPwnd/i+lzUFzgN/++fAxA0Mn
qxRcYjwKVxMb40iNScfDINWt6ThVdfUsHCCyirCP90e6SRl5wlAyMySVTrqtraIHYP6mdhotDGxR
pd8p61tv0F3XTmUzzcc27ZanOvLi5/uDyqW6yhfloFKrEOF9yiTrJt1S5jZ2uwxaKIZ+zhz6t0nq
7unH355o4of0ElElNgpc7OqDJUSnYbC4xZbir2pcvgGnRkC1Eo4/J82v+1O63R0M5sr6PJVsiASr
PZ9GbqP0CVE40prwpDVW+UJBuH42ljTegZndrp4cSqJDQD5SV5bz/qMubw1e18+jYkGzThb1FPIv
p1DGZMJ9f05bA4G2R+eRxZMth+uB6siMRdjnDgxyc37OY8t6JsDsmZjc7kD6qBTKZGWOV8s6zgua
U9PkFo6sROQ+NpiI8Nc/J119sTrvPaSxb/dn9ds78Hr3wfOADAwsEJgqbKrraRVKYydJMzpBog1v
+1Qc03pGwR7i2/DGU/tzYrboE1GerhbvrVOO0aFxjD2ii9wPNz+CPPW3oQrBf3XCoYgRsqCpBjaa
d7h35E1+0KlOPhciRg6zQoj5mMX17IfO0H+8vwIbexWMuMwXpOkXL6jrBUgzxbS6sHLkXhU+GBjl
GVo9am4i27M72xqKjypVIyS25+YMViLGCXdxghQ0/MXVM5sSGi3Acgy1nUi2sVs5Ub9ZjSDebmJm
WpcOpjGsaCUy8U8B3+df4TQPyz+SzhFNuHGAS7F4q7XjcdTZFWZeQTbF2fvKGeO3Iu2VnWTkdi6M
gaUhiQEnD93M6y+Uh/WSW9mcvkHa14BtxYzUgxlX457s4s1AhCq6omiBotGpYzB1PZD7f5ydV3Pc
RrqGfxGqkMMtJpEcUKJESpZ0g5JsGTk0MvDrz9Pci6PBTBFFr2vtrZWrehqdvvAGs8jsCYLauRix
v007W/XD0tsStLvaBYwi1cWl5Chh49rNc+niYRBcnuckcWzEpNUx9rmcx2/JOIUbx/vWjLAPAvkh
m968apczElOuq/1gO+d5mstDVJbtQ2248/HtI3RzFPYA7EWeT/bbahSE8kU5xe657tN+V89juUtr
c6vOcfWC8d1em3pQxmRxfzWX1tCXvAUEB/h8/KGI5dNUyx6M2re+IeizvX9OkmzNZSQF5dZnNU7r
1FqiwT3D6Xfv+io1DrViiY1H5dZeIH+Q3RcwxN768qkHvaBtJtwzcNLpy2zVe9dBO2kkYvz37flc
1zP5fBSJ6JfTqUCpdXVWvWKM0CvW3bMJ/LX2qQuU+d5z++6+tJw+2htNNn6rBh0WGa3NtDoib90m
O9WmcrYx61v7hZ8hJaDRz0Gu6nK/jJVbdnm/uOdYUbRD5EUztfDK3Yirbn1bivp0JV8FGtao37aJ
nR6eAhMe0sFX0FQ+5WHZ+xBSt3LoW1sTRQ1iAxmIoA94OaE0NKa6NkrvXJZG86Vw1e6sD2b/Fz0v
3Xcr3du4EeVaXbyXrCVJFxK/JjUWztzleL0+j1ae1x5A424ZfbsS4q5a0IGGLtw9ZzbQpLiv343N
k6O67ETJcCRQXV2PSatVGv6I5E1uSuUj7JXHsSqqg2uL6D/cW1KGAEVHpMKBJVxOcAx7nFZDTt8y
jCPI5s7ZtUu9RU67tQ/BqNBFBmKMsOPqSIgkikerYR9qUzs+KGUWH3ih3y09xGeT9W557ihIrHFN
ES3xqC4mbkf0Qw9jmQxPSVyVj5OjlndRVNa/3z7pt/a9R8pOPIzZ3pXNTa0LbxARBz0F6Xw3R5r1
Mqv0TOzY3JJKe12H1UZEIY3SB4k7JZ01djh2qa6Ei4oOrjXBIePn5E89dDLNX5bR7HaF4/TFhwY7
nNh3FYMWio4hgOJHlZI+Ufg3vnaDXWoPc5blL56V5l8j05q/1WRn30ocQJ9MVG6/p2aXqruqVf6i
gKAfizCNBwDnY30aQ6yh78yuzotDjUwEkLwsX5wDZ0H7ZuZup+5bNLcB4ydF3PtaVpgbNchrz1Pp
aIglBfL8dGm4Xy+3qhOFztKjT4tmbOxiO5Dnk9pjumy09pE42tJAWpXeFP109dw2fsQopLjIbVqm
4lN/sMKzSru45A0bzfLzmI+22MFxiu7gx9XwIppyqY9hiw/vfal2bfxk5kq+8TZc7xh0CqUeOe4+
aB2v095GdVBV6qMqqA07eRkTM/TdbFkCqBjdxqUs74j1hgEIICvEANH4cpdfS4+dMksjLuVJx/jE
pwuk0Wsap7sGu1f8fZPRve+neThoOiqU737TDQwOJA0KcAU18dU1rVI6W+p68s7IMi6+l8IiiErv
/XEK8QnNGGk1hjbimkOTZVYj1ZWzYMqmxfN5Aiie2XrfFfu0TOonYfa5t3vvmSeGoHZG9QfQCCDK
y8/qOEWzlFOUB2ULHcRuy+SUVkLxpxr209tDXb915IlcY7R5aN2pa+aJimxLoSLsEKSmEdNLmNtD
l4b9vVth+1Jl+bRxwK4vaXJuKnWYM0le47qWEEUIg7ez/Jz5NBziWfX2ML22QpIbsyJJklKMHAIw
HKutUWmzms1VnAdWlsyQd83TnCfhbirCo+JOW9pwt0ajMSN7k1wbVC0ul2skTq48vcqDAbXYvVCb
9IjIGNgwTfywC6s5vr1kr7zMy1MHUARJaeD74BCutGOzidKJSMYiMAxEA0+DGy3tQYG1196Fpluk
Afo7Vf0wmXEBlnKpImM/zpZn7mKp8I48g+seRrVq8wOeKiBZnWZuPoxDiHZjnaXjr0o1qmaHF1ni
+KNXTMWvmUCh2btj3/40sSIAz6r1zoul8TLti6nyki/xkrvLE0HM3OxFNWbqQc+o9B0qJeo/942t
CV+Ms974xcTttDPEtOC+4xSDvwyd+2QrjgP5VBfDS2+a84DdyzSmJ7uai3i/8fmu7iyZpZF1EKlL
jre8Pv8oMU1KrC8mQhyB7SIBrxnSSakqlsPbo9y6hHUaucCEKURQOr0cRRNqXPeWKIMI8/kXXZnc
r+EYVt86M9nqfd44UtQ2QVEA6pExifzzPyakexOXkujLQI10y6+QOTpYnbolEXZzQoQEILrB6F1V
9BOn93Lc08pgBkF3pIuXHMreVI5Fv5lQ3BqKjqNU9ZB2tlcgCcVOKAw1ZRAn4XJSgBvTOxbZqaYV
tbFMt74dUj0SmERYB3Lo8tvFpVcosWKUAf3b/tjYbng0uybc2HI3J/THKKvNIGosZKpiKgMFKNSv
fhx6vx0c7TTpc7pxv94aipImjCyp/nUFpG6TssW322EztN1nKKVQ+7oo3k3TsMXduPXp/gwzVkF9
NmXjHC+EGVGkZ2cEOJJdjpXSw9vn6OYo7Gs6IKR+gNcuFygyYlUoyMcEBhoamJG46s5WEvf0/lEY
wJM+IUjOr0MmMQypPehGFeS5HR4UqAuHpiu3iKs31oZcnWlIT14yL/mO/HFQKRnEiSi1Mig8RcNZ
QhnvCrf5LEIl3+hS3fhqjIQim+QYS8Ody5FiFKnLrnc5rDiMJH4aatF9lPXuxuLcntD/D7PaAmHs
dq7VqmWA6Pc/WurodxL941PW2yKP3hpJaiKSJxNl0ne+nBBtEEw3e6UM0j5xj9ECWGyXGpH1RIs1
dTcCyxuDUTp/leelkEwZ+3Iw2n+IkDV2HehuPpySBIWPqhb591oAB31748nQYPWUv0qMkG0gunjV
RnewWEk9EYugTroeIMKkfey62T6LOdN2epHgF+c25lYAcWNQCfuRbVMdqeNVvFJVwolciOcBigHK
cOzsKOz3cesNz29PTl5rq8nBMiYyYie+lsQuv2NOVqQ3s12SeUxPUyvow6k/s7o6p5gwppWR+NE8
P6Pm8fXtcW/sflkdo5AtIR60GC/HdVtlntKwrQKqVsVfYu6TJyD55WFjFJncXE6POAKIFh0r0nJE
Ky+HSexlzGNOdJDMSad/1svFjna1yUVPbbGsm5Orhmn/aayN2HzssdtBwMkcom7n8dZMAfIGafxB
X1Cre+gKffIeUdocmk8I5ifV4xLqtE5Qdo1bgHv98JUGp/jb89I0eqjMJSrONkVa52T0yMvALLZq
wpiIJT94Qugc+RHJoLOKAIC2U+GThruxV8Mf8YjktK+6c/TbGSZoFFo9VOIZIObySbeKfDguual8
zilVwUNv0+RfT9QxJuVhqn/T6m6M9w0E5i0xzusTx6eE/yoF2lFEWOM8FDr30LjzKphzrECd3u52
vYVEX5aZW6rm15vjcij5539cwnG+NB1m71UQG052QAOlO4jC1N59xBiFoja66ZB/qEZdjiKmiV6K
hwtLHUbKSUsNY1cDHP8Po1DV5uWSFuxXxIne7OMEDpjgkpgX524w4qneI5Frbzmy2De2OtceeCnJ
cCUbvpzOxFYLrYatHmZC2zXu1O7FNCIUYyKKfY9wAcKeb5+uWzuCG1iqfFNaRhrhcsTWzZOhI+kN
zLhz/7FQUvxqVF2l+hatiI3P+MphW59kskUJwCcUpDN1OZjjxZmhdI0IhlFYMPusrK0/TW4dz0fS
p+Ybymh9/eKiTalSkbK1ct925jydLEzv/xKYS6k+aD21xNBLICk2LvYCsmFp4u95a1XezhW8vbus
6XVj7yqeNeyybsnHF9uUfhzd0FnuMV7GJff7rpy9z1zc2XxCg0rou6iPOv1kURObfdNNLPPURTai
iBWXaL9HvGFRdlGtObMPC1Cv9iXcJJykXCoU/b3qTAsW6WWcZu9++vG/goMMBsEmv1nTaPkIksyw
sD5JUh8oUiqHzEszn4du2Ahmbmw+QByQnqj10FVZY4mqOG7tDnWrAC236Zy3A4CR1sCCY17U05JH
ydO7t57s16MrxdVLxWd1dp1Ij+kdTiKw0jL7hZOU3ft1VDeRHymJsuXud+M+YmoSNALwXnYQL/de
ItzOrhNGU9Wl3Wls+p0TY/n19pyu4wzQsQhpormEJgSQs8tRPAotTUYoHUw0az6zSauvWS8wcurs
zB+NaHlsYi///fagN86wzLORsKK/R3Fk9UAaI1K8ScKgSIbr/qDmPWfA/ccsxmX/H0ZiGxLPsEkQ
RL+cXumJKaxw2Quibg7TeyVthPUxKeBOHMyEp2Vj899aM4mT4nans3xNeqzcNFV1RQSLOoYHA37E
R81btrijt9aMBpQU8SCAYotcTsqTvm1WUTeBJ9TF+tsKNQM/ujaBSJzWbuUFqICYCM0RgZkbYel1
5Cbl9tBOAfZOSrRu2GTaAhl9dJpg0IfyR8b7jAaekmL45ytRpWV+XLZd+CDSNFt8I3KUxk8yI7Y3
fsatDYRUKhHBK+J5rZTd6FoVD23eBJZWmce6MatP4WiKj9aSNPdv76BbS0qDRVoay/dtzXzpEnBo
IMSbQGTeEJ4iK9bt4xQWojq8PdCt2wwOp0QmwLO8Ui9qeg3ckWWxqmgQP0SYwGa7SAziwdPn5Suy
mOEGpOrGgACqac/K0y8b+pfbyFaWBWZpK4LUGdBnNJJfXlxmWABmiV9n9nvZlYBnyaApyXOV8Qis
LhorjEYgF7wLlWKIT3Em+kPStu6n3py2gsYbSybfA6knJC+1KwhXCj9HH7leslF4Ptj73J/KwXz/
ehmwvKTmBhsDmu3l5yvyRBvpK/L68Io/U+tY6ADhKvjBGif7S62OW+zD654KX/D/B1x3nxcwEV7Z
2CLo8A8iFok/VXn+vEzlxzkpH4cl/Vd41kYH+tanJJUhk6HrQBC+mmSPY7HgQzPJRdGa3YwrYrHz
Ykt7fwmEy4QbE8yVZBivERIYmSRlR/4TNF5V78IaQ+dQaOVunMVWnffG9clQSNIDfcY+a807UTAm
bcKpaIK+Nuilu+o4B16YJfcF5ikPc6p3h0LFzfTt431rVDJPahXAZ5DYWoeSGO2EKE+2QTk70V2f
tdoxMsfu2OtmH5hDK+7ssdiKWG4PSgeHvp80rVu9FGORwTPOwyYo6XDcN2IZfL1HO6xX6maflLy7
ebXZObrWw+C7IiEGoIZbkyrJ6nnXZiMFXVm1wbAI0RxDJavv6a22n8Ji6StgDG15tuy83Deqgbzk
6NpZYMS4E1LWQLX+7e9+46kAPIGpkrQhwM5B7vA/0ro0UrSCJ5sfU9oANcS072CS7SLY5Bs33I2P
jVATagcoSgJgW7+N4bDkqPtqbTC2Y/4zMdToByzN+gFF4fTJM5SGIKSKTm9P78YBpW9GhxUDIs7O
mrRuioFIw6y6QDGX7AMCPc5DqsflxiivefZlIkQZAdqnrNiAbFzPTfdGOLomX9EWdXPAMjzHSkma
vFiQkqFpp8D18mWfo9TzQINy3iMDPO91tKOPXdG7qp+XmOW+PfXVygK2AFopG8yylU05c1Wibxd7
tFOsK3CEpLJihHV5j6phfLbGpd8YavWV5VDQGMnWpQgB/1gNldSJN7oNniBVXCs+mueRz7/9Tn3o
11GQmaSxwV1L+r56kHMULgxnQoBLxSZgF1tqc6QVMm9E/GskA8MQmLJpaH9KtvJVWyissq5JkuVs
tFSBg9yr4+Y0NjMizS5tgtjXtbat7mqzxOPJhsn8M1FaewAnj8Gxj1KX+o+do1v9qTTiJS78Luns
75k1dMbBMEsngMytVYcMT9jm0Eaq807Uufz9zECqUMFRlLrolyeafqqr1bM1n3FwovIPYDjiN/Sg
sgoj39j4r6j8Pza+HIwzDXSPZ4mdvyZAeFRCTbVLjXNtaxU2Yqrb5EMwR2PFPqDPb58Ls83Tu5Si
me7nGvXhI2whVew0Pa3wga5S65+Wx6j7Mha1nXyM1GzI9qYoY/3BVKLl5M0zbpiZpvRfO30UGWlX
bje6X3S1axzapGuyr4O2KGJvWn2nHY04c23GntNqY7JXB4psmoCa00QdARLB6rWoQ5sSM8yVYBjc
Zm/0fed3zvS9XfT+8M6jS/pAUQ+bGyo4tDxWS1h0FuiYQm8DSkeCF1j9YYqGVlGk7N8eyGEvrJbP
lm89LxKO8sSfl3vF7q0krfPMPBse1s5+D2t2vyhqtMv10Po0GEnxd2U17wSAy00D8FsaCCFgxllb
jTr2yeAotW6cycA02wcn7pwwK+SsmG269exc303yyoDrAS4XFV5bfoI/HjjLaFsvSxcTbTvF4FaO
lz3ueM37ai1Mifvf5gXg3JEJradkFZaOpamDLlJalvfmEEfPRm66j1aiLXcoA4zvI7S+jicJCzqA
ENkaW4VLCaafSKVVFujp0PaBLVUPKOOm90YfgTcom/b57Y2yCq5fx0OJkPY1FGvWbxXohliqV0iG
WGd+Ufy9CZfxWNOuuq9CwMdVvGgf6M8vx7aH/Pf2yOtw6X9DQ9BFDkYyQdYokbZC0FtxoBcKJUEo
3kZGucO3py2r4X5M4iJoNCvZ16Rkpyz0SgiwnuEPM9/97R9ydfxZYgRVuOpIPhGmWe3arszyrKGG
eA6z3D5SeJh2YWxHe6WutlrE8mteHkuGglzjyY4ntdXV+R9aT63wr7XODRGbX+SVuk+KqtwXY6Xe
6U1/7nsGnrsCYmBcbUlI31hr2p+vIpfk9KC4Lk9MgWJcbnU6FNVqsXci0YcTR4gPa6U4vSx1fIBG
4+z0rJ837r01Oluu9cXQq23W102LzF9snxshsNzS5vjgZKr10dRr57iIlE/Osj/gptfvWtFHJzN6
J9Dq9Sdwx0MeBNgFdWS1zGbbx1ntpvYZExj7KDSt38Wt2BIMubGraX5Jp0/ZSKRetDrAIQF9ZZW1
ehaaPTnHoQkpMnQChuRhSGK18h2YhbWvt4n20WzFMO2Hjs7ZrvGcotstNhyojVz2etnRS6EnAhOU
bBbt98tlz/W2Ao9u4AwT1+eFp3V6MFrnkfgZSQ/H+pC2i7sRa13fzRQi2OfyOwO8WD8/YKznFvwj
H6FA2lhRY82H47hl4Xp9mrgipe4ScEt6FOu69JLlgtZeaJzn3hp3fd0P9y1Y3j32zNGxAhC9C7Wl
/jlVLgX5eDDv3743bkxSvq8Sz/TKm1uFrWJeKF0lSOZVWmX5be0lgQOgYePo3ByFRjj3Dik0mmuX
q1dqVtHkymieibvVB7569pJGmbMhE/SK67m8mXi4SVvlO0eJel1ZrBEa0Iayds5q5eXDWSRI6Cd+
IYC1Qdes2/KDrtSt9dincxc94jTvTb4Zl9Fvd3HS8Kmt617l5kpNfJt8p626Jd6Z6lT9LmcYqXcK
5FfV8osmdF5iMMDzbrDK5FuCrdVyFJYlwJAqWaE6T0LL29FPZgpPOzcS6d+qEQ/6ven0XZjslMqe
tth5N74wNzLoKvt/6cHqbrJi4HVTlJpYPbrlB9ybVX8QTvb97d1yHZHxgtGxoZGC6AEH8XIdKaWa
dWyyjmUUTs8FupnPkdslR2cQxoHG83BslGLYvz3ojaMPTU7iS8msuN5Xg5p65LT6Aq2+1rr6DqsH
BZ6jYdwRV5hQzLzk0HgoNcWdyKb3XwFS3w2vbPqjkupwOV89xxo+jyADtqU37GOQ4vusL/L/NArY
T6irFPfXF43asU/Bojv4Bsz5gc6U+WBX9laJes0i5e0gMYCfJ4VGJNNslSHAPVfwV4EBljpecoqw
yfWtUatO9dS0R2Gn2fclU42naVSTZ4+l/clbF++Hph1+JmSyG/24G1tJpsrU5inOU1deXTywR+Ms
axU4rUBWH+iKPLaZOIxukkOLCacPHgZIx7c30nWMRD0LLz1eNsiDVzpYSBrVljM42FuUSvjY9eji
J6PZ3pXmtOVSdX0cWU3SI2nkjkDVGkKf9FYkiAWVcw7iwfbn3qn1feHYqb4R2l/PieW0wcNAbeKB
XAcEGiaRNMda5aw00/S9INfPfEc0+pcQA66NW/z6IMqtw0MhO1cUklYHkR6dWnqLy1joUDk7NR/M
0i8ytxJ7gFBx66tmk7S7wfRmY9e0qW5uND2uvyrib5Q+SC3wSAIFdHkcvWpZ2kgrowAlCtevqajv
p+mdgiEcEwYxYBtBfYBkulYljZOi68xojAKnrW2/MB0kF7t42ZV9bG/M59biAb54BSdyea9pKZrG
mlU4gAZVVeh3jTbnR9EV1kMVR9rGcbs5FER/oicbCcS1WIgBgZGUqIsCrS8/NYlZ31FK/rI4udgo
pN5aI6QkIR3wDWEErzZJ7XVpHLVeFHStqjx26lD81GJzyyb7+vbgrfufbDOMpquSZh8mU4aofxE4
hSsZ6H35rela8av2rPbD1Ebdk1isaGO5rqfGSBjQAryWfDRv1QUr5qrBWiMBruiCZYIxxP+EZef8
evuaujEMlEuOFxE+k1x3wCZ4DrzcXR2g2UpfIzeTDz1P8un9o4AW5D3gHBHnr562mBAnDQXomDDv
u10NFHOXF9oWieJq28laEYVK+FdcGcA2L0+sIipJ6FHaQM+GcJfbvJ2Rlmd7a3wvclmK4KBKji4N
3E74quvLARxcU2cA8s7d0HXPxmLVP4baeCew43UUwnV0pqjaoJy1erbIfYeZjN87owA7PpdLZR+X
xO42ItmrLcBcQGYhQynt5imVXn62loCGe8hlLpNW7Yc6jvbe4mz5zV0vDok0dSf+Q2/ryhKv1PH4
RJLUozBOjf6QLHZ28grPGPd6bW7lObcGo3NGLwd1BQlhvpySbSra2Bqhh0/qEtv3patPVFLLYg59
HWbut7d3t3wJLjIBHetX+UpQFOK9WL+/tbLU1QyY4WyZwvbtvM38yooPylR8i+dy3L9/NKwOyKA4
s3RbV2dpGhQcyaIlPINk0X9M9ZT7XlYr9x2ZXeRbkfXO9jW7UHLrqW1T/6ClsU501L5XPQUIZ2CA
aNqLvOkOvVXO7dFRuro8EU9q780TqQMQZgDUgoVANX319CZ5ZHXI+1RBMg7W7zCLlSfMpKPntz/k
9b6XZwreMvcsZKjXusQf5dActi2ejOAMitDQX7w6FH9BLxJ3/2UUQjNuCkmnWM2lhISEOicQA+zB
qgOCFRToxFhtRPVXTxT1YRZH1k/IW4icLje8yIu8HO2uD7xycT5maiIOg267D0baj7vMHudDXmvv
BFiyMcgCaY4TvaAoAfPhctDcbDAK6qc+iJEoOmpVlu7Vpi98Nn23senlQ355xC6HWs2vt2h5NfSE
A71wl2fDTk200yX6WzOSfZJP2RPKrPl9pmTj4e31u85kOGSypyN1BUF2rtvCSz9ZpTrrfTANbXyP
4KvU6c2rfe9m0W4MnX43tItftaFzwvBt0DD+UAhP8R6hQZa77zXfkV/9tZtFHKJBZ1h7SPAR6qWZ
+jHQ3NG6B7upYL7hlocpL4uNeP/GrgLnBwRZ9nNlZ/xygZNaEUZnxlMwtGl+gitp+zke4b42Nblv
wcY+DCI2Ng7MzUERdpFMdbRd1tQCegtjrijLFCxVVT5EwMSOWW0OAYV+8eQsRfMrddOtPoycyWp/
EX3TAGKZpdT66pSSyKAHXmVDgIVfkX5MRWn5XTX+DhPUvZaonHd5ZM84ZKD7fhosp9uKMa9fLHJF
JGZIGql0U1e//NRWlQxt3UVjMFhhf5ycOdmLISLL6aMt6+TrgisnH882MhvEc7gtVmMNHrWFaTbG
IJ6itvTLqHEsP0Ke65OWSXUbI53CnyWzXPxe02OELTuzmGFZCipMYZNGW6pBtyYvOwpScomK0lqY
t+5pciM5MgZKMaq+g4TXrhuVk6cWzWnjNMuwebXQRPI03Kgo8ddai9duRrW2+2QKUGScLDokNR4a
3/XctSDb1un0zeGDw5dIOlf4A9L/vhWLLa+nV7Ox61/BRuP5li6E8mn64+nBlM+tioGDpQ8tGLrM
8/pDbcfeo6UXVpBE2o/a0KfBT6op+ZZm4j5W3RcbwTFp6N0ePR2DGPTHuvqUiGLYCtVuHAYYLywD
msWchXVS2s/w8a1MnXgYe916sCgTWztBPdzxc2tedD+xmhdEr/UYxwp0r33q89G8AZC99SN4Mwlw
pAABdZvLT5RYToXadDcF3IfNtLfdjvTfFuG9ltKKcb2s34lIRcOqyX+MbqebGy+OPATrJZJy1Nz5
gIEoJF+OX3ZuI9Scayjpa7qY+fRBd+B/F0Srd6IWG7O98b6xD6SjIsrpEvd+OVpRt+Ah0nQOmiJu
71UR1uQuAmqGb87RB1ctaj8swEnVxH5badOrNelqqqg8wFl0SNWJZFepZpikcdjE5RxQFy2OLXoF
dFXc2Z9SpX5SwnraGZ1VuTshTKSXo7Kpnj21VbJj6vWtvq9MSCrGMranKO/Hg97YP8tqqXYIv29F
HNchGx1XieUh0nllyl9+JuxTWn2eW1B4rM2xR1ID10fT3Lgkbmw9ZG/lfcT5pDG/imuMetDqKsZR
eK7K+IOi6wA1ykjbT+ViHvoxmw9dZYnP2PI2v3In6f/auKNubD3qQmiHYPIGpWkd/haOMXs1bw7g
kX46LaMbHXQ1VhCOcK1DU4X9sxF52UvElbpzLaB5bqTUfpwnJkbWirN3Zsfw58jSdmnWTgeXourG
4ZCbf71j6Hwg8KaTGVBzvFyHNokyBJYXPJczW1oYzMvz5KHR48dG09CK1MP2W55v+ZOssWUy9JF3
ktRVAmJDGfJy2EZ0ZTcM8xyMilfvrL5Blj4ep4/8zs/sXXff1RVOPlXo7U2nVXd5rQ4voramh4E6
I4hzZ0v74sa5lWI+mAGwL0H0reLSdsyUOUziJaBZQUtYHQcyQE/pkW7o0ik7icZp8fahQTK6Svbl
7Y1yaxUoqNDXQYT6mvJGibRvdHRZglbVht+z0U87xyDebwHi+nXuxY95nnkb1YKbiwAyG1UMamFQ
ClanA521HCPsbA5cp1eD2dU46n0rVPWUlbqa+JrF6+HryGLHR67N+IsCh7O8z1DQs/ZWlTWtT9Ll
fq3i8f2JOCcWYIb8caDi1trmaOaFDgIVcwCWFdGONIWy7muxQ59jaaLHyZi61n97DW7dSHQWCNnA
ROD9vLo7jbBUS8Xq5mBpXQPvxtz+vPRLsVHnvBWySXs2eTnL9tQ66O+kWGsZijmodCrw+xCnioM2
R8Tiyli16b3nCP1TKWrzXxvMwL8KQmfRsYFqBP6j17Ut8embmwCwrM1LBTEXVZvLkzhZ5gAYqlmC
xkjt6ZDUGMb49dhG2CijunRUM1bYTbzsbxRR8R/A3UH9MTpT8Wj3TYQkoJlFv8bEaeatL3UjliSO
hwhFfsTf15jtzhsNJYy7JQhHw/xaoS+hAquylsOAv9+0t7S5CLzeQ6cE/adfyMWfFlS47hMvouTV
w138a0FKwEcFzPFbBAU2UqrXvsXl1QmBCk0ZvJyQqie+ufxyjTrlnlYWaqBTZ+0fei9Ungfqf9Gd
KUxqOfTosw8l96jmJ4qXPFtTWf5T5Yr1KGy3fmq6eXzJu8abDpKizL/fdhDnGw0LFEXVJUSmD/uN
6OR6k1/+Zvnnf4SrE0Lj6B/H/OYZxZc294wdIoje/dtH6XrlGMUh3KLveqP/ObeRxJGGamCAs0iD
jOdxPLglTgsf1aU20o2SyXViz+OOEIBE6gJnRAPqclYw9Lw0ctjDyuKApTS6xqh5NpPhwVrc7Nh1
zePQteOT4mDw509UFCUOXRmf0fkHm1cYU7gFQZdDXmwOYmhyEmps0Pi4VVabYzLzJQ11YwkAg4yV
P5QlNtcgYYSPoVp8VpxqcHaNUWbqHphI0r9oZlz/fHsZrpMT+SNoPwMWl1CzdfG0mWxubDQZgqpG
j9QfUzSC/cgojllsTZQ2TWUIFEvPydHcaYfHW3OPsJV7cGKpyI1Q+85U5vzLNCf1Pp42BZGvNiM/
TyeDlVcPV+Lrz/9jM8Yp+p7h0KlBzrktfCNOc8tH7MWY9m9/iKu3XQ70KkoG/ZCK9Wp/uKqSLUk1
8B0QIybQKP6OpukvpVF+C6vaA2w+2uqW4fg17IsmFsNSVwPgRzy+CijsMJ8iBy50MGvA1Hddr/Rf
LGnyvZ+HUCi7cOqbj8S8SgHoLTVSfykMu/BnuJfqxvyvHx1+C/Z9VEbBQYDEkPHHH196NuKSJs2s
Bo3ZeeKjEhNAPWi8oh9EWkbeERHoON33tjmFBzBktYX/HfgeQsEe3KFjhOZGZHxj6YmIyVVo+Mk+
zyr+i6per2GKaEFrdOIcemr/KbVmbwNQev24MW9M1NARwNWC1HM1b61v+6kiDg3mcbT/sbsSeH1c
KkO9L7PIwgY+nkXyoGaloe0FWXm4W4y2/xF33uz5Uz/T4MBgXK9TP2mhKm2xGV65OBe3BLVQ6jeQ
K8mC2CSr30cNTCEKGLLHtNBy61CP2qw86Whthea+c8ey9DV9mOankv8PUUEP65zkGDqEoucKbHF2
UB1lFoccaD8k/CxTmzsRl6r4qxfRPO2LusjHr4mRmuNRt0ZFec5DdxC/3bla2kcvTByr81M9EdXf
wkhpFfnI0lhWu486bC8WaHSjUe6jsh3TnT0v2fTLBl8RfRANN1ZQdlmxZf16fZXz4lM6IhSWFokc
1sudmtT2pIspSh7dbNaBECL584+Z2cb3aUlH8JmDLjTfbC0PxLOppMa3OZ1huDdGlBZ7vdPi4hlq
jDBOb98gciEuF0qW2EBPyqYX20m+eH8cIBiVYdokefzYOPH4sbW67gddBs6yZiuj9zF2JtXYKWgH
bFlwXl1d1LcQZyFhAloJUmO1Q9SZ2lJU6vFjH8NjvhNjHbmnHBm26mCbIgfJ6HWPUKgi4U8xWqrv
DYoppALG5r/0JCBxrp4xDJQInGw7fhS5Nwo/XJLhRXeqLW7A9edl9xMO84jTg6V6evl5nYpnZrLU
8rHEBgOzpN4bm09qhnTr37Mbl/+GZCo/AVJn8cb8riIVnmhaAbB7uB1AEcp76o91lcI+epUgsVJj
qnHfKJ5yqrBzOJlWpWwERVdX3ms0QKUf4ii4sLVqkTeMhUuTpXqchT3f6Yq3nGL0wTeu+utRLByg
EdYFFEojaV19VuJcr0TfVo9qk1vwiSZnXxm4Yb99HK7qGrAa5RyQyeBYXNWZumEJvUzvqsfe9KoT
Kor9aXRL88UZBu+gawph99sDXoVTkkZJIUdDcQ5E7xpDhBd31edGLx6J9XV1V5Kl5nvXAFN5nK3E
Dj8SiCbV5wja4f8xd2bddeNm1v4rteqe1ZyHb3VyQfJMko6swYPsGy7ZlsERIAiQIPDrv03bSUmU
SmonsbsvkixHOsIhCILAi72fPW/AMIrUB5EM5fCSkerxeAlQ5108+PCFLdrbh+NlMonHgdjrj6js
sr3NXV1s4ajunXSMnBdtAk9083JysmA1YC9EPPXD1gKXKpRpS360MKQ2dOiGPY11sp+I59apA6Xp
S9kCT1zf4m1GxQzFS8hwlm9073moG+ZrSF35kcx1uOu7GsL4pI7ETRBZ85fn7+kTQxXrkUX+BVUM
hJKrtsZ4titt2/zoVB6Xme+RkOe2O6JS/3xDT3UjToYhS19O2R8BhWpHA7AXuvwY9JWdeVHJzlCa
4ufuKHEy0KhZv9Dgk70IlOo3HgQKkA970RZTHFda8SNT2LBDW2yfgF1pTsIYS83nr+3JppYQ12Vi
xCJ69X6IWiydTMD5URVJ2GVG216fD0FCEqQ7Rurm+dZQNMdXf/AihD4Ry0jkxgIZhVOX1QPgFqxV
lFfhEUDkKiJJxhEz/Aoc3O7MB/k09wB6fhcjCdiy1W0NE/2mMwlFFjjK+hqrzCw2zXQ+jxA6pFFB
p4++4eGd0jTTcxNlJWmdQwnLVko9rkTWOj42Bm7VpG7PnNQb23LHuxZMUEmT6l3p6DMuveg8GUMH
m3xE0TNaA7nfJO0RJe35dBZ+/GqoymGD1e50YWDkm3qJU12raPVRNyPf2GUYg28VgfhndPmu0g5n
ODkT44aQssr8cczxp6atO1rvO1GfhwWd970NRJuqirFNKx51ZRoRMRwhJHdIXntxd0W9YDgF9KRB
gEZh72gwaMwUdpECmfmKFnG7wbeaj7EiYtuPje7H8oDDy5m8q1HFvwYGcP7o8K5o8l4nzZlYSD5Z
XyoRnkew5VdXUQHlzUkfGnQWkkSn5E0wTFjFQw+I27Oczr1WdHKmtGWt2+8THbGPw6zKMh3snswp
G3nRbHUXokSdlp3b4o4YipUd+tun/Aibt2OSk4pYEX3LoC37FPuqrvbxPC10BdlNaiiPEq9m/Tq0
YXXfM8v4xTuY/CoRZmMNskSQ2aMj1T6Imv7LNAeQ6sblXPpbUMxmtpPOQjSzq6astgbqfqzd4EXC
jhiP1rApLCQH5J4WqtqCNcbNBk7Z+dSCRejWHYfeTW2G5d5khpBsS0e5cyYjCUayknp2c7u2Y5YF
A2S6aQJms9xIWwkk0PRTy/eyFSU9nZPBkftAVu6cY4fQ0dcKbkG5w/nxBHZh0aISDlpFiAUCUi/s
Myi4AmfX0rrrp7Svexc2i9gi4p1s68F67RWN+iL9wQveUExHost8nLg1mcNskWzLpImmHST3WFlP
bgtjqfZiwVFswzt2i+SCiW4c1TCAyNQYv3f9DgwGKJWQnjr0Yc+yBBWwZjMFPLnqKbebDEF7RZda
oqhY6idEtbteNf34xocR27yvSqGrK96O7MM0lVhzcF7pOqe9EGEasaDvLgsRdbDlVHUEg0pYDiim
+brGBiAAy4UMad2MtZuNDihI2BGKtv3g9SXlKc4GJm9MJ4UTBSDN6/EaAKXYPxkb0r5Vc0sg54XB
S1z0UO15LYQUjivRzELO8kSnYYkFda44IaKI9TEQfRQuT1ARyxMZdKM4Gp+hIioQgGoyJHkqtQVz
WLfnRV2U4xsrZvYXLNOHMi8D7NrwAJGGbmKH6wZhF/Y0XM6eHuS1SGQvF7pma6sjTyrupWVR+FPa
YTdjTiJW231mWIDCd8jjhaRFxzERRQqiz9QcYjNjIMUg3YQ9KorGQ/lZIg35tAH9K75kavZKDQMD
aaMcC7KJffYhW0nelLXsy5ybsA8zS9raRil9HMHkQyQ1HMyEdDvdBLH6XDgda88RiDcmSAhxCd8q
5bTXrl/EeMHDJ1vjiLgu6/otgTC62/q1P00pd6RTZwWQCu9KTfiQBlFVjq9cuB1oautGjacAxNFm
Z2GtbeXYIQQanunRjy5DDXBaBrqjH6V2JH2+0bhvMk3MMNQnfhN1Y966Xc+Wt1aDhXfQMrJpQ38y
O6Sqtt1ZAQJZkha15/LDOASuOurKBcFhDDobJXrQq2B1ofVQwEG5VDIq09vuRRBiUGRV0RFzYnxV
Ojvb1n13QMV9rrLRoPSQhvBRvwUTEBWH0Cph67Za2x8vXKY8G/505SZZIhLRnQF44FlXzHar4RJf
RFg3aoJ7/Rg5xVxuKAZ4uI/61jM5ainSzXGrYy81Q2PeBQTgPYbbW/olZguUvrNI+DrIImDPFZ6B
onCDjIJtHeRd54BfjUGvRmSB1jre9XqWbW7ZvK8uitCxKCbRetRpDDW72nEfdrN0wCZUplQKwy+0
48Md5czA/qWUC8x1An+M7fUCHTxQpw66U9y7ud2boUMFWCV995bMWMrioeIYrE0/DG/HGplSObOR
4ZxCSS8+cMCCbkgcFfYmkqAhgYwI4/1pjwOZKS2Jizm/miH0A16uL7sdMkcBhMMeSMByzig8SoiL
C/UB+DhEiI8OYwhpYKyyUwRReu9tPvgi4wHskntbzLOfK0yT9hUrepxXNDPTZVq1OLhJYwocZjp3
VWs2sw6H4LKJpa4PohklnErjZHkzzla1BXKdX9ZjmYVySpqPtT/64thbSSSAFmgLnoKuF8tt4DHv
jA2wRpi01lT3aTzTEdDVuTDWVvSdbz46iM/rt+FcRO8nFjCRxzZBsde1+TinXPoFBZrKitwdOBGl
mzocmZa4byasUuHO/pWhhnbbAN/w2sDdL973xgHMAOYqmFgyTB0t29rw77yrbNMxzEDG0AsikfKB
Kh1MPDlOKQXZQR3WQLihKt1vavTC8gQ1RKfW3A9JhtAkHPPrSc7vByhl5i0iZnmVTcwxU1ZSlbjX
MCqM3eUEqlc/QGPaVU1GWTVaOYE7Oj6DQd27MSrwQa3nkT7vgPqEQLP1vOktsk1mcSLN1Iw3MtSl
nxoyWuIASVRE08qZoe4Y4qAUG6h4m3YHLFJd5abn8Hjg+HE0h6JFqvSNpnY0bAWOVqsMFKrRHJU/
IaDTjsUQ58oniT4PvD55E/k1HfZF77jiekYFM8zcPigGJDVWQ5f1rADGBVLWeLpE6ErdbhsrNtYp
Xib8BjRo18kT1lTtNkSR5BPKSHWZC3Q2jrMDsBT3DTGcnbs1Uk/fY/uHJYInI09twqm3xqOrWpfu
SFxh2jICuQebOWBtgynJY+QIFUOHPAk8ndEePki7zdhMfHcLIhuWgjjtmMzGYKWynC7jTCuLuz4o
UzF7vtn5vUvaV64nQa6cKJnEIRGDdk4SU0aIaaIOlOcaQx+nCpojrbS0AxrmttP0066VBssXXrvk
7RxjWJxg9ENSZ5eorG3qyGv1aU3ENGxnB1bQdGxY2VwVnlcdZRc5fRYWU41po/B0exojvZmhcxQv
YINezt3w1vPK3O1YgauNI3qhKjBeEddn3G7nO1iEbcmYsPGk51jdblpScusauWZenPtClFaTAkYx
YaGHaJakMJlCoqe+JYmokyqVrYVMJmtqGM/qloOjAQ8441tr6HGkOsSmdrJIcqJy5FZa1lvfFOQj
qaXrXlslH945hQOWf24Hehb7ELaN5DQoK6ZPKlU5N4PlQ/dVjKjWpYkIi3mLRXivXyWdj4CYgdLh
SrosSQ4kKSuaYoEn+g3k+SHdAo5aghznBW2CF1c/vg1Q9ztx6iKsD7DmS/j10CPNbm4x8gEQVIPK
Wxp0nxxl0yCfazn7ezYa642NBViUYugiUnQ0TkyzOaw962jNdldtPc7kCfPqtti2tuVpBEGUAYXX
3qISCS8DpoHW+IhZIoE9d5sS03FyAjxKj9m+6EZ6CDHuZWqcAcGhndd0F5arwxgLMCx/j8pzuJe3
2O3pNGwUCfDfbA6hLJU4YtGiTKITgkq9n1pW614jC8Cr937fIPLX0ph9TnujwyT1exAa8ZhgIbzD
nRqLHGWdyTllXeHrU2kEoqHm2ANdogj4jHEWmQpDBuxDzERi5t0J4v16dsCCQ7Ks9osCyReFVHeN
cSO1c4xfkm2BQ3WThrMMh23Du8rbKPB/y0s8C/W042OJA6AGCUcxNmOdYWfUIXO76xaKTdpUAUhT
GXik06VXOU39sQBpaswdYdXlnHU95xeMNPyDLmsfjMCwKnqOicCT8SmDLJakKKJaY51jL1kXW/jp
ls0hE8Yu8R7XU3Xe2MmI42eFs9ET7WLTtUMtJCleJVhQedtkthOSNxQZknMK6VgxHOfKY1h7QUdS
b2wN4/Veso6HUHEASujlgVuZ8jgxwXledzIyWVhDNZnh/+7E+RKZ5u2whIMBGGvGuDqByaB+y0JX
4uS2jox/7Tdc0WNYKz5v3BpLlBuY3bmvcTZghcldjZM0efSqMoAZWI1tBUGV3RF4wKGztOYhhYKi
H3H62CUCQe1hNTWfoAw0/PLrHv2/Ps3/j9yxi2+bcfH3/8a/P7FeD0iykqt//v1YfRqYYF/kfy8f
++evPfzQ31/1d/RaDnd38njbr3/zwQfx97+3n9/K2wf/2FC8HvXleDfoqzsxtvJrI/imy2/+T3/4
293Xv/Ja93d/+/32c1chSFsASPRJ/v79R4fPf/sdFtdFuPxf91v4/uPz2w6fvLjtR5yRfvtj9z5x
dyvk334Hf/CPBKp61NHiGHXERS2r7r7+xPP/QE0PMkmkw8ANuRTaKBtk+bff8RFIlZaPIQl5OUNa
AlgEG5efWd4fcE6iFAi130J5g5rj9398twf36c/79hsduwsGrJ3A5TworSySKJhBgLSCAAkKFEi1
H1aNyohripNkcYo8F75sMVhGnaJ9d69Hvrd6v5WHBaOvrcAjFuJCcZ4BIMbqgKUoKBJ16xKtNKT4
IDW8mEk3qLN5NGr3fFNrOSJqpKgSe7DU+C5sl484bD12DGVPtTp1LIONRdFDMp0nwHgjFFDU5rXi
rrikAWHvfZhek+3QNaCVe5NTemkxVChIaNe3drT3yWlHPNbj8HwSMSoD43Q29BQZNc9/44edA5bi
V0kiKs1f8WLwqzy8BeIn4sVWhbufhBdzH17Qv4gX+5o1+qAqCDjXfbwYnpH7ZWNUBR/gxQrIFs3e
Y5gfv+PFateBOnoaSoFV85+QMXgqWg/bc19e964NoHep4vp68qfETxnX5PYef0z7IY4xLUsCXujw
VtRnExaKBFbeEU6V54BkJo5UtLE9ZYtsCDoyvaA/eTxqcCJxD062PNj3iub/Fpzsq5Zl1dUP4GSr
E7k/4WSIooixCLBCCooNKqT1Pi6jMtn71NKQr2nrqkdsPMKebRlgQYGz/Uu4v5SAN/lpeBlhs6BY
+5lp9xcEM+O2ys361jA3v4cws2yrHHIgT8IzSFz6OR88xpEx8BVpRiiA0FnXDd4BRxwwcs4DRKUb
v/fiD/8a4mx5klY99oAHthqcv4gHtmr15/LAViPw5/DA1kL6n84DW567e8/VT+eBrabkX8kDW737
/9d4YKtR+zN5YKtX0wRP9C/kga06/FfywFbDbOx/PQ9sdZv/VR7Y0okPZ16IVmD7xSpw8bOus5Oe
5oHV0kPgFW+r7uOzULDYmiOJfWYRnWgKcVYaYE+N10c/AUYLScdLyXmPlDYwkd1Hha1mm1+BClvd
hp+EClu9HH41Kmz1nP8kVNhqWfQvosLCx2uJh6iw1bTxJyqM6VGcNFZX68WgEr6Z4Dus0kHyGscx
TReRnZmVFNk3iphfWKGXWiP17Q2HKwryH6gsjqNDAzsdWdd8otPUqfwRWwyUsejUayenBs5hCsZT
gcCZeM8nq4b5okNCDc4yzGhvoTivPsZT5yRbh2r5BcZY71UUjvOwD5D+duPRMf6iAIqCrhFu3Nc2
0Ng0v0cp8y3W+jvV6ThIi2nsRE65a6nNGluG45jmRpS+e2JwlW4aQgYPWFqBulfKKWD1u4J0E7SD
kmiD0ygRXTYRc93Ut3vUqGdF2wxHslaT/QXtbOxxYIU+VMmYuyHrv/Shz5zr/wT9bLXd+0n0s9V8
/2voZ6tGfyX9bDXf/CT62Wru/En0szUL+n+ZfraaS38F/Wx1N/8d+tnjyfUh/Wx1dX/SzzzQumCa
hfT0OwLNKjqZEmOTLxC6IpX6R6s+qFNBQfUPGNpqKP1bMLRHQsYlnPweDG31XC5quP85DA3H2eDU
Ms4gv3j+kpe79nBl9hCJtlrs/Bwk2qpffyYSbXU9Dg5jfhYSbTVKfx4SbTVUfhISbXWTfgkSbY0j
+VlItNWo+ElItNUM+Z9Dot0H9a9RHz8R1L+6nn8d1L90/4NJaEV5Ww29f4fyBs7PujGkOQLy6yxn
LEBufbUK3SsmdQarZCxYEwiYHOhY7KEfT10ciGMBDbtPnVsu9A1pPFWYa2vlkg/epBHeQNImmMsw
dxNJse2McST9jD4TkA/Vp9Bpg6qDM11yRAKB3WVLxGiYw/NOrcziyIosLWXeLUr3s9hMFSRooNB+
/CblZEOncWjMAjCRzER0sCFjN82pFHSRn3Iy7aCSH6r0nsIzZD6FeDMK9Jg90nk2OOr93FSTwcv0
m9gTWgrfOaUF0fHJN8UnrS1yCl6ucg84S7foq8FDQN9OBqY15xoKKyd1TRmH5wWtOmSLugX0Kp6Z
7ATC5n8qQ33hQPPcGOyFIHOEc3kzaCsIz2HbsKI3IC+VDMk/tBjHtG5NUeWTUykXCAa8mVHSj9yT
bzrSOoqaLkWizLj3wqaP88UaP6dOZzcfXOSZ71nMYW7g1MCLxDS0SOecwCZz6tQEZrZIFWTnURuJ
1xUrgx2O8XkH9Dip681XIaqL3cuHAAp+kbrChimuDsWQhiP3b+/rUslUQR1YF1531Y1e99pryfi6
EH4DLcwjmSoL+2LPPWR+5iEdghMT6bbK/xSs1jFFzloJQfS7v1CtAgnZfcQmElf6V9JVZNWRCMQU
COVTW3bm0HvYfe3vq1hJ6TtjbjkBzlUS3lgjkkUWRStEmrS5tAvqFumgPCPSSarkEHN4anOnHPXR
AMcwpDiUtc6Q4jH1yPnxem/L+x4GZlc7Xgp/RqlzWk5gh4y9FV4zyOXKzKtYRVKFPNJrXsQlDLY4
tl5CWiTMllFBwqMbqm2Bo50gcynOJRJrCiDydeP2BjZi2qaWET4Bo2f0X8Hd60KYwqg4UO5RJ299
dxgyllS0PloyltDAeejWXLuVFeQA8pR2FlG44TLk3oKWC21yW6RcRdH7NmkH7MYhxng39tP4yQZx
+8ogwmgJbZEQ4DQ1pItpzVtI7XBEX0P0VUDvZltxdcujyYBTo6f4risLHN9TS9bT0WLedO4Hdf+B
2gpCmtIU4wfuRBAItQWNbplNCplVxptZaheJ/wGmzGnOel63TTryFik5dkzETQPdxieOQXnRkkme
Vy2Hdg+Slv6NH/XdHfS7wsdTEkaX1gAa+bYG4RgZLdz+4IQi8KCE9wLk9nkeAi5tiDE3QT2L5sRC
KDTdC6sIb7DTdkeodiEcBHtqnuus031gbeykDZu8rIrmplO9djf24AOJgoLAfIUj8mjCfYb6NoWj
tudwC/tuk8faJ58dEoctpBPGwtASrLAzwAuTS0btgCMKKoTzWhta3FQQb9/pyG0+BLpqb3XAJXqv
aKwbD9L6EwcSkcXcHsxH6QjnDZUeQaa012udRj7ETKmphfV2Ct3hFoop8YFQIz8QqN0SCPziZeRG
aizBUfXn0xr0Z5Y3ZQJBydTM06tOOs4Hf5DytRX3+s6rh/Cmd1QF/hbAhyiz1PAOxJFoIAsZDJx7
Fplfz25SX7swWLyfygFyZZYU7p1t1DRkNT5xBglZ1aWdM/qf1WiD+wex+swyRgbY/BExID/PpWIf
Wsn8z30Rea+7wLjvIUFtMZSFAxAX0lqGi86GcghuWuZe4OhcfU4MAwppnO25QTtu/LqMK7/NxiLB
tOYHfZyaHirtlET+AKlNPDdw4MVDcwF5atzAPxCpKgNnBTKdZNKhgghvZDMKQhM0P7PNgy6FUcsP
0xIxLjZEtTq6EV0HskQ9VUUq4F9+MwrfFimoD1GcIts3m2DuqDG1R+4AOSrIScgeIkDxSQ4Uw+br
JuSHlCrPalAeaFf+UtPyf1CpgtNgSEmWlKq/Fqtc93efqtv2t0+3fSXxv1d3pGL0N/blt5Pb5naQ
t/eFLH/+we9aFjv8AwQLUC8RwQC+3lJa/65lwU+wjYYTCM5zYEWXheJ3LYsV/AGquLtAaOHp/EoE
+FPLEv6BqFzM4AuvANSCIPghLcuq8r/AZOAXBUoVfw609vVqlWjwyIglW6g7u03SRkHu4pk9lF0Z
vYlp8oIdcbWQXFqDlRxOWRwxI8pnbR8FOdKB4sCm+1CP5FU1YPaay5Z+sGP1EkL1paZWdWZRj6DS
DJpCqgnRP+bTMAPxucghNw/ze8Ph4ttC+L5S5+t56r31MSyieHjh4sQVAXgPBi6WtPeWrMqZKilA
dN7Hrpj2vA0R5a5Zb29rGXvXUIw6ny3pz7d2YehmaAd6Lg3xYTor5RFplu4nHnhgSnkGeuoO8+nB
k5MHCURBBzBUYgc6+GGqqjxpwUfIhrH135QzAIkjH+Yo9bSO9h4msY0HB8bbypEtFJA6sS/cwiCu
KGaIxi3dqkpVHOlTwHu9LbT7Nk9p5HrA8zbFMld3pP70fL88ugWrbllW+ve6hYLRO0FEy/Zz1Nc5
seL2Y8tqD0Gsnbn+D89Q/wfnHqCr8ICj0/566tlAD4dZZnowxfzzc99nGCf8Ax0NeAjwkiCyLymT
32cYx/4DIjUf9Gckfi50s/szDLRekJWD/QKZurtAL/4hlov/gFPYi0GuWc4D4Y4MfkQst55gYnwt
EAIWrh8uF7K8h4NgGkHBhfOxOZiSu69dM/tvIbjsP8JiXV9buqm29zroiYdx+Xv3n0W0h7DNGAkQ
kMhjEl2+z71BB7P/4BWY0A5KIHEt7KP4uqeUoof/eRueaGUN6gALBc34OIgEEGWJt1hdVkgLZmbb
ag92LP2NgiQQK2vbGQ5F3fqvlJmskyog1saj7oT81MF73cLhtmnbll386FfB62DJoYAhH4JEoBge
XrEBQ7fV3Fj7BuvwMCOxgRlygOnYSn2W+DrTMS+6DQmCwk6tsEF8peZ4xaVwTs1+yhkiA7Lnv9Pq
iDZc4AAIPIBwETN9Aj37w6/k+LKEsbYZDg34AGlEPfPGKQNv46AyvDd8Ci+GEOj2YIiLF+biR7cf
LSM/HcrApWVghB+2PHhc8LlrxAFRif6uhoVuM7qoHTx/fY8G9dLXeGsC0AJcLibLh63Ms9NLy4zi
AOzz9QSTYYr/3MQluwsDUeyfb2w9jcbgRC4LBD+BoQZs+tU06lS+Lyo7nA4AW3SwaRG9beQM463l
zC9Qp9acE/Td0hbEslDQ4tLWHBZSubTw/VIdCGwGLG0sguoGyivW6aS9yks5Hls7h8PSnzJlQ32N
HWAzHViVIHRWGBOb3LjMPhs9Ed60UwzaSSMGcYwTSlRawnfBM+4acFqIMWzILBEoeWU32JNsUNZJ
EFlTjDCpgYcrZcrY7H/ykYzlA8yl4PJRfo90V7gp2Tu4tieVzXVEXni0v/J+Hswg6AMQJhCXBd0t
cASr50kRt1YOdtMHqO8QEFUMCWA0YcIqL5vgHYLBUrAY5j4Dv9hFT5p5zim665WNgNBrbqmGbGpf
2DtmT/6lnnh1HgNc8ZZObQmvBbAvb2Blak8Sm6u7qJ5iklcFrggbAcnfYfFFCHYMSRe+djhSELKZ
dE58iq2ZG+yjtjXyowsTpUjnRpSw8NWBBYQx1p52B5/LBKl/jRPZKaVxJ+bjiCel3IALAqXhENcf
A4wkk2IbZiPDlHhzmddt6TiohBEaZ6XHR2eD7jH+merrrr0klaw+u76Yb4maB0xxnU3dt12sDQI6
SfsSTfCpoR46oFzipQQJ9zqPScCAz/3Bbw6zz7Hf1e27jtdATfW9/8IM9VRLyzESyAnLi2LNE6nH
vvIQRdweABxAMQWGqh0kzZBpwmmxef75fTwlLYt0sASxZse1+avJkIskIYwV9MCAvjqWbO7g3Iza
H5748IqHeRfCaKSzYMvxcEqqpwjm3JiyA7apbS6VC5NS372UKvJEt0HsEmBfAgk+5Omra+mQ/iWD
cuQHHpTtzeC4BnqHRje7wGXsB3OzlskIXBTQbJYEGGj+V5eEpGKKQkTJD4bHN3PhhYcJi5YX7s6q
3IxG4q+boBh4agRxeKtGxsmF+NkjwwEYBbU3UWXwfDQkKjZ265dHhyr7ME7EPbbC67xMlTYwyM8P
EGdhMTyccbCGAKwBu0HsCJM1/bYnBYyWcIUeyrYuXwMBbzZFhIpdasq+PzbCQLEC/C7fRV1MD2SK
p4u2SMRLb7UnumJ5dSLOABtL2CuwkLy/dPIU5wZcV3GwSpRU0qGmjthLIBnGrOldRdIZFSAnDYlQ
YFL5Os7DWvcvgW4fDzHcEhdAKYR7YAf8FTx1bwHnWhreKNHKQ0/7/iJu7emqRR35rAYL64Wl0zJa
1/2+JHpgMfeVDbm64NbHi60ujTz4iMJ2QKpozBbXa/M88Cbvc52Apjz2hXVb9C8jvx9PC+hj6Ngc
LFQQV7aG6llONY+dNcvDDJd4Cu4BEjjhkH1heD9eqaCVEJMCkLUwzKwDemKI6ANgHeWBlvSWBHzn
dPO56mWCGhR2gM8P5Kcu6VvVAlsHMFVWswO3RYHXjSUP0pPtDRgDQDkERF0/38rjAYK30xJPbWOo
Ypislnjgq3go+PPxoOhMT+2mBg2NhHPeI6XhhSfziQtaHD6II0X5Bgv9VVORXSJiCBEBB9U3Fjzh
SBEXA3bqz1/Qo1bwzMG2FDruQtmJvp6I3RvxtUHa2lRKhWWUg9KADXgWVu/xC7WXRyMBSHX8caTI
LWgmcHMePt1+WyWVOyp1gFexz5rRsTd0rBys8dpqBxOx+8JgeLI9hAgsUR4I6FkHn9o2zuy8LlaH
YibJFQsntQGHof88uSWABw6OG15o8NHTjAt00Q42mssiNlqtkwerRbUs8dQh4BrJf6TczzBPz8rZ
FZF+5RTumen8l9YRTzeKeQo7WzCL1mHJFPQbu4cb6cBs+yaBV5FW7ZCKPtFpuRhnIyleqU69sEZ9
vP1crhX7aoSkIFoWm/yHNxMQwFq4A5sPA7G38eTYuZnGxXXlNqeFtKyreuin1+DY4sCn6Ab/KuS+
/3kugjfPD13n8dh1bGyywYRD5QEsfe/hF2lrAINYEs4H2EfCHJngMQy9Di+q7Sh9etL2dX3mclCj
6sqOdq32vRPCZHOiYualsoBGMo0UtS7LEruMFwbEUyMQ1F+w+DAFAuW2+m7OPMYenrb5AKQHslyr
8CNvqt0QOjWCRsiH53vi0ayEO4IEU7xLAEXEQm/FW+LdEMJKUmmUTofi1ahIsS9KK7wpiuDzD7e0
oJZRSwWPEvXGVUuqkOCQmVEfZihDTxQb5p0zOu1hRvzQC2+PJ+4uLI4oKaGIBL+jvWrKgJnR9o3R
h8Sfg3fRGDW3zcCDF+a/J7rOwzoMl4ONJ96Eq8FcOm4NR2Vto5Yy1he0b6PTrrOKCyR1dC+88R83
BZYpmoKqFo+Nay8XfG+qxQa69aiw50NcR2pTF7Cmzy42UzDGTz/cd2gKVfrFkIrX77oQRYbCiWY3
mA9s4tN11BbTOyzzqt3zg2ElxcNV4FWIe+TjNYXJbQ0m7RHmWnEALQ6OQV6xy+P6Dam8OZ0mz9o6
YxXu+2Ai++cbfaoXl4QQvK1sFPPX5Z3Q5rGekU9zqIh0NkD3kLcTej21GDFvnm/q8QgEDAMnHYjx
wisf6QwPbxhp9CAcf0ZTlWz2OLirNtqXc/58K09e0HI4E4GwjqC89UwxInYQZUx98Jv4tdak3HCY
81OLIurq+Zaeup4lbhziFiylsft+eD2V2yJ+W3v60MyDyUiSFKknVfHDMx9uDSIZUfpdiOzrKcKU
rJ1D5JIdCh1fM9kfIJxBSpbmX3oLwPLnL+nxKxCN4dFFbCYuC5f28JIGHJXHhRbmgNBWHWcgHESv
VYdfhO6dS5lFlj+a1CJ+vNQ8RveFmtXjWR7N49W7rG0Aely7sTsWipBOyhxA4JBV1iO6JuO2Zx14
4ooTt6YvQQMfP3K41KWyiSIzXipriPkQmRBlm3I4CChHNtIZ/MM8K/c04TXfNwKYiDg06u2PdjKi
45FrjMcdVQvIBR52squRVSNB8TgMcGgmB6eyWJkSJA6XGQ6F4jHTdgXIRNQ27mUDaLB54SZ/q708
2Cwt0yYQkMBTQ5WFd+rDb1CUOP/yUMA9EDHGVlZJ2U7ZMAglNl3pkyBTY5BAKjQx8yZ2PI4AYXd0
mo0LOCzEWS7EXKnrUQvCDq4+lTAuAK8CXcUrOTVBmMZg8zc5d2Ih38gEhJeMzwgvSCXnrbVwz/mV
ckxgb/xB2F+apgO1QTkD3BWN14M501SjAimKgFqWjxHURKEUPt+CarVgpMZB1eCvhVO3B6jZG9LB
mcMxx++BkOcBI8S21JHS+v/snUtznMia97/KxOzpAJLrFqiSSpIt3yRb3hC2bAPJ/Z7w6d8f6j5z
XCUd1evdLKajNx0OdxZJkvnk87+FuibxVSHyDJ5LXk2KOsYc7DulV90cWJNWJJGIC0MPiApzvvmq
q91o3Gy0olxapX7oWikoAbLW23X9aBa73M3VXYF7nbPPOs34qs0jLfFBrYkeTq4vzSBP5DoFYlXN
Bcon77tesnD3vIoYFxszlvfUNrAAlIOfVTAsxYpEo9co7NqkaTuYOmvxyScVvt/bq17dpX3jJYfF
6/R8XxAu+8uD1iWDwk1cfwfvR5Z0bjutCRzl+XjsOLL74ViVnu6KHKIGGXskeKSruy4hoo78zVSO
a2g6qUvmCJX+uANRZ3J0+F1DsMTK/JJIYXymOIxVkM1q/GDQK+WX9r68AR1JPyo9pieKXSX2TdgE
tSMUj65oL2wmcl/7fa/tRm1GYGP4tCEjqVvyvZkNuv6gYaKjXRoNudBB2jhzehGrQspAzFqCTV2+
kS5sBy+dwF+4zOPy1eU2GaeqSIPUJTSpWyzas2DB0zeH/8ktNmbV46KP4w9cFu0HM1VGFujmMBnf
OFzry3XM5yzq+zKtQzRCsImWThkzMVii76J04ri9BSQXW2GvOoziLB0eTpFrwztZybUIYz3JVGTJ
qfaw4BLWBPQ8pR/XRC4W5I/SFLtmjrEa9GNPjAHNchiCDXaJSyCUojfbGH5VBnk8dT8tL15vXVen
sBdGt8hA6dhq72q224T32bffRet331giNsUftQZUoLz5HMum+uBaGpkfchSNHlSp7nyxneSOPvt6
zyU2vkwNpgorODeB18IdBgOHZcRpLdZYuZc2ZBTsHrW2nQIfekAWsLUJJ6wworF2/lyaP5dJb3tc
H2Ii+nB8lHBXlFKQ0KzZxz+U/SkwvEReKbLdCuh07YAz9Vh3O0z2k89zV01O0HWVeFtlZvdFFr59
bwueLsyxZhQkyFDMhlmtadTqaev5kSKeqI2UZnLH8sy2+GqVonyT6pgm9kYBq7LmePpQuH6NGZjL
a2f8XsMf37OrLBrgmR1SOqf9BbfH/NOsp81PrJecGyttpzQqnGr8MtprUhyWGCR15/Q4FHatSvWA
JtGKKQwOHz+Ej1/Mx7kpqzt7yeWPBT8q2JqOqvxDQZP6Cmul+IMLq2vbirIRLzNDTY9tWXuCD7jU
Hs1sTC88b9Ygr8ZOf6t5yWRFZFnjWjfhkA9sqOSKzY2vEkELTBDpI2orXyJ3WHofE/hymHBOE25J
NGKRTzinaUsdNP5M2k7jFZFrJuulHmufpBw+1d4wr0GCoWcfVKsijUX23XSty23dO6ypIUzTetQC
PcfkKkwI8L2tG63/YuoyniK/qcy9lvnuN6tIl/dQl2xWqBiydWNUpO8d+J4PcQwLK1jmKb1xR+VZ
t+mascHLefo8YLw4RZhtTW3Um/7CS1mTGHLEYvDZ1G02em+zCl7V31XWHxGW/iMN6Yis9Cqt6X8h
aQB+EZ01nSvS/8DVm3/PkbtOiK9OB1Hp41h8gwmQnfCT/vn7/7AHTOsvLpFcUMDp8Xf+jZ9k+H8B
AG523hjxODB2/oc9YEBBMl3cdkAATBAyQRX7L/aA+ItaeUMgttbchr+bf8IeOC7MsXlxts4owJ9N
4C2dq634++2+lvbw7+haTId5MXBpMvUxWAZqg3q18zO30KfG8r8LnL/HsnAJAjYG2PA983gsLJ9N
I+nbAVvjRL2xSC0i6jHtcX8ddHnjFzOeuNiDBoIUxovGrKqbShbuN6zD3IAciOzPpD9//x4aVrSV
eOUUmlvd/duz18D5yqavcKh43Q9ArmbQ+UN+JnrjuHz+exSPApob/va2Nirc76PovRGvyk+AsseU
+itVHSW8I7Qra8irOIiFW335bTG+wJ144Z1uxBOaChsmRh/reET45G6KxeZw8DRjuC1ru9gvos8f
im41/+i2tT0c11Q6xfi0bXcE76RmdWpvLmZtAnqDVJ0EzqrZH3pTV5/+9InojhhQ2ly4BzQBT55o
gZYMjLQyzOBYIXb8/S4bxwWsXp7ryDx7XSBvPAnu6ECKPNTJ61pWr7Xyvl4PGP+11ETUarkUeTSm
a3flT/XD60+23d3+/U1wR8M836N5CzbmbL7sJ2uQHRvrZ92Ae9D7CTc5ASdgLMYzr+nZDZLYDC6p
9M/IjceV7kRABYlNlL3tDge2geSXS9uYkDUTBWG4ZhbsaUFxk0R9bPrvjaq25jN3m+fDbzkmvD22
QXopp9kZUx+P9aSK+WCt9fJLF1OzG9JqvdYXo7xcCKBPwjaX9j3s5HMhyM/ndxsa+y2yGayt+3X8
LeB7Jznts/mg+7OLSyJdPVNik/r6Wzz+4ra3uPUk6UKxMT/1iY5HSfO0Mzcb8EPWGU6wAv/dUPLp
O7/H/fHPh7JxbSQu1DNppZysTwPjTpgZ2nwwG2EFulJUfF5GglbsOfvXhzK3z+p4cdI/4Wugo8eZ
w/X0+LHaWMcLtpH0nvVl2JtzblxQaLg7WfT1ZVJn6nKuujyScM72QM3WvkncBu9FseTguJCkJknB
udZO4gH2dublNM3NB8Md7W+tP3b3ciJcSI6De5HivPaoJ0N9BpN5AvlOH4HbtO1sXwDRTyfX+oFL
mpwXusaUV5URuF7cWqEuawMmukB0E2RwBj5KmfUdJphL+Y22ZYPZY2H1WKsPPq7I3rySJeQiWHLc
ThCjjCfAmZf60ir1iJmgB2dv6W0nE029Zw6jKaaDZ7X5FWFg2SUWCe7h9ff54ijkZ2y4P5GLp42c
RSF5ITtkOmi43nPL6XhXxfDx9UGe+IanM75xt5hyB6O7UwoygQNzBfYwHfDgWvF/1npcOUuvGN7E
jk7BXpZi6CJoI/EdK8UaA/7beIeOZCHbtdORrCyYoDYR92mt3zvS9OvQTVsBzlJ0MoWLb2a3JLn4
X3w8Vz+s0yBJ/MnH9nq0Y2fYqVgNsILM4syDvTR7pJ1AMIEICH9r+/PfqoWVi5uVb7PHlzZ/SBGf
/CzqKTvzjk6zFLethH2E7QpiqIPI5GSrXvs2d9K6BWSziSkPuV5wvZulX1z0siGgzjDimj9LEgzV
C8K6mnwQeJXl+N1Dq8CRM2ytdXnE9nN8TDN8iQPX7dcbz6arE5oC38oAcYXZRK+/9hdmx7AExRRV
EpvgadizIWkmDZkCjIwrb5/Twb4umrnbvT7Kc1iO2YFPhHTccZGpnx5kCZAnmdGZOrSeU3I9HonK
C8izW25UV+DGrs1aYYSOTTRn1K8eybkCg6OD2+lEertllZ+LwXnpufmUqO4NlgUVyvGqyHFJX5c4
VwfX74ZrDITf+7LsznRgXxgE7HpL7cY8ki3fPx6kEmYy43WsDkW/tHsvNcpdq3HGvD65z09pyjmK
Efb6jdt7yriN1YKur17WA1n1ZUbFnejvvHh2ZeB2Rmzv8NPO8ZZ23MiTpvPj9cGfnaAOcIcpaL/C
1kCrcVIHWeUkVA6N5GBUE70Gr4jzXYbn5VU8yOzN62N5xzUexzWDCXJeuZARtoNj4fF8UnZPCGCF
e5Ct1/zKSGSpLvTM1hYCCbeFYhldiad3XjrwJBEPXZUmtstgmkZ+Py4NOsNKjEPgoUfTAzJyhw/l
kLRN1CZ2/pBqqMUid2qau34S8Q01Cd3MHIYwlYEnahkOCJp+9Bn9tpDEu+ZuQkNKgkDNt9qWefoh
wzldBSi1iibCwn2yKAkr81OVmh6KyH414mjJq9wLC2HGbTgnan6sEzv5mo0ieZjWOUMoamvlj2Ek
umKvPFNdowAsPovULppgTrDpjXxFBmCUQR/xdxrFzdtMNRVRHij8fqLVdehtQVaqyMLodSe0bM3K
8EDv4gub3N4mKo25n5GH1bp4s2Z2/hNX8fpnmg7EKUD8My9SgEDjQiNHRoRunSLAQx03NpeyUTGK
M6sZLnKDwgz5pl0cyjJDR9vqkznTRknct5pn9Q9o/+o5mvXE+UECBH3Ghi3ocoydrEDWkvo/4k5b
64D+yfKmQ2/5nW7mBs0pl7Lj9TXzDJNgyWx3HJrz3KsQ8hwvmXKk+S2x5D6QYnEnrNIK0nq6IGQr
5VjCAN9tujMnwbPPkRE5agBBWKgkI558EXZmo4geWudgeNl0qNZ1naK2IF4Xak52nXQo1+ggJsU1
79gpzpR+z3YctjLAJp/OBeU6n8jx42bW3BWLMtZDYXsLUcgZyahl/Pj6nL7wGTrcCqztBs5Bp588
IefokE5Lox+AWtxwhAxHH7QxhxsrT9t3epk7Z3a4l54KHJdSlGC9zfj3+KkUkeeNl076IfbX6q0V
z35I7Ip55sW9OAoEfbRemzDDPhllTnMfVo6vH7wpn96p2tfvljkp/rRk5A3RMRdsmy4X4tNypF+T
tBZ5TkaUMNtLqVdr0BNKeGbZc5NnTo7KOdyeIcdzHHA53eR0x3OGmGwmWmPQDqKjFQCxdpiIjmgc
J3CmqVguR7fR27DxS87appcijoTZyZ+jagc6mbZShKOQQmQEclozP6iljaIKqJKMIme0QDTWvBq+
uPPi6KGeE6qBCXOZVqGpksEP8rlY3WhZavXNn2lNBzZYx/1qF3lMRMU6TnuZEjh7a/acn+Tm1mR9
VKm/kGpkgv+MULsftBy8JFJzrGu73kSSHRZm0SzsmwuKWSW7ZJOjx3NHFlPufUkHqX8c6sr3Q/Aw
YUYZeGQSJtPWyteLlDyXQZhzF+qEMzySJePfaZqjlaHnTFoceG4+3LRjQrrCNGb5t6lOjZZATM+I
0Z85iI+hSCCXrjzFLzansrurXSvDuj0hoydA+ZDfIg2XqHAb7aM2sjsEG/trvnCyWXhEIiSZHeKr
5lqB8Gbus/0wuxTH7Wyu8ORVfdfmbr9cOW3OTDd1aUQrXgUVCUxmVYYVRNklHIq8H6MJKQ85G9Jz
vxLRYGKh3/Q60R1W3MlbtyUIwoS4i+YdivV6iZ0VaYZkr+CTTUZTEi6lxtlIYjRSl6w0iT5Mxex9
aQcygfB4d9YPWWe37zO45gJNwZTUIda4WXnbw/qjPZ/WZhEY2pKISInReUjiWaWXbTzodWRZs/Wh
GNLia1m4w7eaZCcYRh0xERdGrk/34JptHhkDyPfeTQ1Pw2WC5iLIhND6wNZc4PjMt3sZ6sqo36sV
UT66+lXed0aXz4GdeB36brVgMZH1fn3fahPa70VukF1izGTDtFWa3EpiT/Q9yuLiW28vRfzGIOIo
3bk59syRq3XlrV/4PplZi7F+XlB1/lomvB8wjovNOeIwHa6wHnY+T7hxmMHgDN5D1U7L5zSW1pfV
0eQnYwugCvhGRuImIFvVoUinYroQs5t9adLeJTG5t4HIqjGd8ojDd5zDpdaSlbh1yqQLITqgJnC7
uWSG4CwEXZpxjgJ91VUYp64P2FkgkQgVUb9ZUKAOGQJykTiqh9bylv1UzPMjAbnlR2KV3I8xAz0S
ZcEE5URMxHuCXQ1tbzfJlqrk+uMXZJY9USnTUt9vQTfvE1tqZtRVfnKdtU5RRvFq5TKyzLT8msGZ
56RahL6EudN4Q8jmm9wYXkrmAR5C/WdV2ctNpld9GpGE5OVhAkDZ7vCcoACapglopW8Xo9sVvmbJ
PadzT4ISpu3yotp6kj+sVumf17FJebg0Vw/gs/VdqZGGFpI02lVRbRBmYyOV2xdJx8cyVsPkhS0W
f2+cRiN/pCiJy8lxb1ZBAxxIiJMD4ebCrWL7hspwDIl9Kt7rYPEEbnTEiISF4rs7EJicZKEvp75A
QkpjLfTHJt/ewOyaN/k4l2PQC1/h4VCMJFsXpTGUBD7IDHOIaRzdwCfyFbx18hoR2H7X4iUAp+k+
lgOdpMkjjOGQm7Gu3ttFm7x1Uqu1d1XaEFdsVxXtE0dUFOsGcaMguINQ5h4pkP3BKNIxPxSjjt6f
e/90R7RI14SQ2rsPpVn1b4H+QKVSz50ehlIBGRHgId+WY0fNJ3PLYserDZUGmtt47UU8yhjYPyN8
68qbXW9l5Sy2RtZX3NikpBsYw7iz59x3hMgS8g5dON2bRMeOQZzL6evSt6Wxtzg23LBIzTgOc1mh
8WGpafvEApEHJK7SkhAuRQhfbGrGckXKxZjs8bzvs31JRN8cTlw/dLoEpfg5lkKWgc8D+bjKlOZ9
BsGo2s2zVTKdhqzeLxZONxdjm6b4R1DcHRoC5MZIZatth6UaTQwCVEeEUka2UlgXg8F7G8k74Ccj
uQjj1htUaHCn/lHqWfVOlQJ8vStUddBys0JVVDosBysh8Q4qhi8t+JZ8xaAotQEu6mRWEyoxz0to
8OmowJsHEj1dJJntrqnd0gYNaLM1iNPCI+8lGR1/Z7Wz/6YB5TXfpKtqt7SyJf+S2ZP52SyETbGr
ehweinrMNSBbdEdB0hfwwGfJIo7sDdrfeoTpYYZ7N4blRKwvQOZmaM7dJt1b65YmYHqTdkmM7Ohd
rJpr8cnhMZtdduhSnCjWPPObbTbpGODLOf6is7l+VBbneuDPYn5HwSuLHfmCDcvPsnKbuwq7IMfM
4IIgp8nY7p3ZWuU+pWa4m1sShK5BgevvReyyIdclDG90LpPEE79b3i6EAg00DF1weZ89pOADadXP
BGOXd9TzvaSOyNy7uenST42pmjxYR/L6woKMpJ9zLsT3abKGH+m06jeOV9byMnUHQsRWTes+9PqI
6/qkJdMVdzQldwttvF9b+NlPj36AHiYrSq4g72eDj9pQ1fs4mYo7LgLr4+pa6gcm7323SztdfiZt
FvzXg6r5mNiVQVwb0YnpbdYQwxZ47P59pC0SQV9DPpG4aDJ7uFVy8Y0LWtSVCCVp8w3fLflFoUV5
g1zVk10V6qtc3ItJtWsZWe24pjtsO2ifulVTvivXAeZGq3PW7NoWQVXpeCoOfTbXa8gxswjFNJS/
cCrV2U3IsNrCCmvtR2cNxj1dJhT6cQ3ufeHHMZqvrsrLN6rezINGBMWPnjb5bTD6aCUCfY3rMiga
37wtHQJtyI0ata8c8yk+MXOTXbQVtC+DLxT/GlrH8wcyezRrEwaMap9ACPqYJsp4JzV9wp3GJS9z
72ZTdd95Vu3uIDpm155X2ioo2EMxNrJqrD1sBPTpQealcVPkeONAPlHZpVnhIBSKxuiMzQAxf+sM
ZNjB5Wsw2lkdXadJ4DbrQ69r4tNSDZoKx2ld73Ug7ybU03pooYDUxRdFIfWG4obA27rwxl+rh0x3
73B/duk9+/17URhTvhstD6oTPSNnDdKijv3LVVoIvepmna5nNqSHfK6SZN+zbcOM0eDgEQpck6uJ
zQ3Rp7HJwY251HCtl0t/m9VjU4Q5Cs7rtqFgCYoJiCNIcmuhhTk1hGDKqvjVu1mzNxoUTwT+4GVk
ePp8s+iVC8uPLgxsF59vhATIvZztyYiSfhXoIwvwv8DNZD5ENvXA1zX3yJndYo2g5VvL2wEW052B
/5TNihjMbc1BliJ9M8sJmajbbg5tuIP6IafnwjK2eMirEqX6h77W2T8nc4CfE8+x4Xzl+5HW3qDj
wDbqt9n3OdHHdwmVI74oPWxHtvLZ/zwsBMKHTtk0tz0gAYlWdZ7cdXMi2h2luGHzSx11LzRP+HtM
b9W6p33SzJeGJLIvit2h+FRJkj9Dy88NsU8oy0sMFGrgqTjPcf9ipylAPNp8+J60C9WV0wnzA+1e
8rt6JyPSYiw5NkMit3oj2HIQ40tUqN43jvUh3cWOp8kr1yyQcGuNRJJdj/SjQ9dvZBy6MG3F3su0
+BEN1kKEpjOrW9JSfTuEl699QxLv3+RzP90mhVd9S8XkfKr73nwPO3SB6tFXy7exzLHEIUdtEntT
ifpT7dbV7aDcVNuRf4hnDu1NDcefUcPLRnby2sjbfg49dD1uMDncNkLfn+DH9cBMBENBaDHDJLO0
NuiLMXOjailJD8FxmSjUfhZxE/oEA2eULrK5qr3Cf9fIgn64O9v1xyHzpv7MtfN5n86AlbmhiFAG
6PRud/rfuuAm2apduqT2AacVc6fF3NQKzoiAaItzzd7n92hY5GxjMPG3WKGnqJXfhiKP1dBwbrIP
nVp5CQREBbLhg3u9CbH1To/vtxD80SUa4OWOT/v9+IEADcl0HVbvQGxi95VkKlhehbTzFXsoXLG4
qpbF3do2rRXFRK3Ly9mQ1ofXf8PzJ6X3iXBj6/Jgc3LaMZgchy2va73DUnJVwL0juy/y5Vxy/Iuj
eM7GqHU3Vu3Jq6vGtm+aePYOo+GN95CyCEfVMnX/+rM8iQlOJ9QFugA/51/gw+MJNWe6iXm8+Acf
zbWCPemUekiPaXocas//DiWq/ZJlGT7YHkA7ZaNYvJ8D196v2eSnDyO3Ngr0RZU3KRXA94pDVO7d
pFyNSIjceT8pzftFTdid6Ua9sBDgOLMKYPlz+Tnt8M3cyjcbB++AfX/zw61GV4tQ23WEB9pUcdC4
LLeGrehqKUuD0LuLpR6Sn6/P3gvvCB2NBQEOfBeqzMk7yvtkatpZeQfH4ZaPzMzeO8kso9dHef4R
b2wXbHSe5BNkPB2/ojEdaz2Pe58akRrPwGTvoJLcvCxTjrbXh3reN0XdYhq4hdA2BYQ1j4fa+uxW
sbIabEuWFx4wRrA2vn6VdZixaYmt/8Q079w3/cIsQgsFskZuYAr6V8eD1g2Jy1QP8WEL5QsbvShD
fZz/WPkJzGUS6QBfHAkKVJvjUdKhmgZDxPEhXbzmbU0D+xGcTgtG/OuvWz9RZxboC1OJ4tNEro13
BB2/k7fWzCq2bA6ow5BgAKfpdbGjMy4/6VmyRr7Rmdc1Pm3neOkvzSX0NQEtfuOl6ydzqdv9lMaz
jLnA0gmGWKlf+Obq719fJi+Osnleu1DwLSQVx3O5+OZiWUsfH8RaPHIHm3dwUv8Y/+aF2axCtGoY
uIG6HA+ymc7lIFzaYQISIaXJ1OBvO/kZdOmFj4t+Pfo08HzEg6cqyRQuKt3zVDsoy8QmxrTLfUk0
PZzf6vvrk/bSgvhtpFPyFWaDCcp2RvIbAS11darrBIxlIEfBK/fu2JdLUMTaOZPw5x1hppEVTzkI
mQDN6/E0wsvDP9BgGgu8875XYzx/tzqX8Ee3tLDX6NoV3r3TXnXOUp9ZJi/MrUfnHpL+RmKCNHU8
NAiMpUbb8w8WDe93gtTigIwHGhO9bp9hjrywInGPpWzZ6JGcY9tP+a36WDOxOuXoxodMdeSj9u0a
9cr5Y9icMgpmDQUIhE9UjSejZL50jV5Z2kGrGjvKdLlGujOqy9cXygvT5vMk8OKo3ejrnYwyaDkU
nCVLrmLRF6GdW/6urDtxg4jJevf6UM9PUU5OeFAUGJs91OkbiokKtcuYWFukXclF5hNRTaqqeLMI
75DAFnpPrGofCI07Eq6gVhe9Pvx2Ph4VH2AQ29qERQHJ6olS+/tb07VZWdym40OfLGlku3G7X/GP
emst9RQOurFcvD7es2+B8XiFG6WV2oGP4XiVGHZfShV37I700w6G3ViPA2KXnVSqj5xai99UZjE9
SGcwd6+P/OydbiNvjF3fhG+MEO14ZILQtb7qrPhQYBAU4iu83Hq2KcOkWKaH14d6ts9sQ/ExwEvi
/MEI7XionlJlJiszPsT2snzJC7fcT53T7ssloeU/AH1g3UcE/OujvjS1lCic3xa3Q/FM9ZYbXJ4V
u1ti5J8Ln22NON1rYxwfRd3vHMm3nzt1fmbUF6Z1UyhCRMCMAIfIk+OuH/VCo3+PuM1FeTnEuG/g
SqDoSCLJef0BXxyKzQp4jecDAz2e1lmaAza0s3Zwm9jb5bGF2meiEYvldnXms3i2mblQijiMMLfi
w2DnPh7KocVXaPR7D2Y7NfuUJPqdQMp05mN4aRSwYpBCC0I56PHxKBqtg4rPhDc2mzLCJRi1zuzX
Z6bthXUBsYyKBIUnx+vpKMbarHNVoXzRJxRTOUkgV3JU5jXGQLTtq0HuaEHNH3KMxM98B89f2OZl
SlQsI2Oc7p+sDUeU8KnVJK/oBVpXoLJwg3v2XXCduNLOHHXPNtLtY6PQgzO7lXynxHyH271OKZFf
rbMwvxvgc34wKme4Vig0NeTHSEcuiipvsDvPe+UFHGO+d2auT9+oj+kCJ4YwDbZyaKAn563Im3xR
a6kdvKQd3jaemt7EtXTPPOqLo3AGsolulNZTB8N1mEetMYCYcWvJ3ra1aq6LgSDy1z+30wnlWeh+
b5ZUjoUl6+klG1biCjg0JlejtcJpyvGUoIdSdV4kmxhVUuItITHdzX4sU0Ptp9U/93289As2pQG+
EkQlg6cffx89t/xhLWVypTn69FWOjfcgJuKgA+n1ubFxbNru0qF1bUT5Wm0+9nYeF7vXp+F0EW/T
wNvkZcID9TFWPf4Rwks354tYO+Re1wBOQUNK0Ll2U4r4wc9uXx/t9OjYRqPS9rBI3NKkrZPzsc/l
6is8Ca8gzVb7nPrDC60szh6SQTPrqO2N5GGpfeMPiR7bsLB14NNCliOP+uQhmziHfhTHyVXvsxPZ
5tpfetUs754e7v9EUP+9KTqQIG9X2v+sgrqou7rCr7k+kj/9+2/+S/8k/uKWsDUbMBpAjsK7QDO1
pZCbxl8MxBaDB9nmg8po//gzG0imUObQaeGP6YdttO5/9E/6X6h12Cr4h0MN+hB9rD+IGkdnxYL/
d8kIK9yFAAjfEYcV5Im2fVLdTB4aP9rH5iHHp98K5eBNj9lig2KaeiseIfMLOHXtvnDrJSGz22xi
rHYX92pu19nFqb5RCGsxMIPzjv4U8Gfri4X43Js3Y5XmzQb1DGhLfRtMHhR8DsBLmjgsmtWCqgBh
aecsffWFxlL1DczLfNdMGnTnwpl1rh9F3+hhVlRmEk6Isr+YSmogM/aQJJGjLOvjPBntz7nzxw/V
kjRxUFcpcFSPWSaGEWtDjxhpOQzrzhHqYlkozAOvKtSdK1p5DRiAjwCklvVGtbB4gskfei2oaR/t
l0ZmWqQJq3kc6d3ZkbNUWXuZzVmdhH43Vd8M6LgpIgRXfFdCad8LdKcyrNJheod1PdqH2R2pSYGN
pxgugWxuq47mW+A0Qy12rlEPcWBviGc2tba/G9vF7QKvX9/TsyXjvH0CSb0nwNR/Ak9V3ysSQOi+
w99RrWjCvlp1mxuvA/SIjf2lPtcAsfYTKAvSCUCLrL9E3LLhtn6Hd3tYPaG5TtL+QNUNxGvS0l3C
/gn6bZ5g4BZEGU+2DR0uV8dAdl2b+XvEK9aP+glEzjY8eXiClj1s7RAkG6vztgPrej8DyEvE0Rsa
DbvEuM8Xz33rzU1Thxh5EEyS0n5wg7Qf7SJYEuVgZMtxHybGAr8mm9NsCsklXa6Toh72g74Si7L4
Y3ygF5ltqFfW1HsAwxxeQ2y5RYi/j84qGEQfdbXpYzm5cBEMS5T69a7Oa68POuE1WjCjmzfC2lit
j10TV9NeczMk2R5kKldboAX5ytgK0AKrJxbmYLRBQ8F432s4jQemT6ZJ0ZVOvncFHryTTIz3vtZ1
IzStynkUgx2h7RfdZTV1cRtQxrqQvLaeK+2pzP0yzRahIDmAyWUq6cXue4Pc00vOS/mdQBinjkjy
+AiB3LEijRbeEP62Pb37+5v+3Ub8+Oh7+tIR4HHyQ9M2ttrq+OjDrWCRbHrjIV+RuBfNYETp7KQ4
eZKu8fpQx+fe01Cw/7ClpP9obzfS46Hgf+neYi8Yt44JymJUZW9ne4AXg7Ic3lQ877av/4/q721Q
kAxo6PSeEDz5pxYWaV8542Z4cBjLIt3V+D3t7NwpzzRGjO2ycLxhbpxQekCbdSSK0ZMNc3UavyGx
0jyk7EH7dI5dihZkBWDRxdvBNLRostYqXApb7KuCugKylDwID2humvP1wmmW9EwFeeKS9fToNGnY
wrlK4eNx6pIlwOmwNVTmQYdyvevSrtutmOfu/baY3yZ6M4RiNrhfmVtKaTZo+07IEdWEWC4KzUN3
OjTuTuBcdOaHPT9caA9shS3UUn7YaTMQfFvObu8vB8hIejSOncKooz8nH3q+sDEvxtCRcm4j0p6K
EDKPAJncQLPYY9gHh935Zfct7h2OUf69rv+v5PlvOvg4FYAVoKnDeJyGB4XKfy5+PtYQgbY65r/e
fWvGb7+XQC/+n/4phoT4C7E3LwoeORXOv0sh/y82vA36QX2xpVj8XgqhBdr8C6HebP1xPsd/ScHN
v2B+4vuxCVYpYthp/qQUOr6euIRS2/SSqJypnrmgnMqz1VpXrg0uc9VpsdzrPdSPaR6tT0S+pHsM
jb33XGwUIFz8s4st//Db9P1/bM7b6JsBt02VyFVhk8n/3rlrlFYpFw/Wqyw1rGundn2a2VUWZiJr
z/QoTzfnbahNEOoA2XOzPvULlo4tMVrr9St9Sddwqcbb2bN2mkm4i+uWmBjW2pnj4HQbgApOyxph
H2gy/dFTqCgTdSkW3vIVh6VqyZ8xHqEoUm396RzSFqcJyR2adh1OBsdzCMdSynGM9StNNBlmKu58
ZWCSvTMat7/846FM7omslE2vQxP7eCjZ+HDpxsK40qsq/jkPat5VDf0Y0Yz6mQPndHdj8mzQBm4K
zB53yJOz1K+mVSu9Lr6C6YHtTaYre6d38BrjxF/OKXlfeFMMhpqXKysH3Kk57lxtdHJfxldDrWW/
nEqUV/Drxz88qdEgbMwGkEPv6frDVvP7Yu8KwrXKOHev8myudmNjQmmLu/rMKM/XOZXAdhHm+gXB
7NSC28OOKY2xpLnSWuyX8izJh4Cmh7dDqp8d4nFWoW6465mV8XwG6VyBnJjsb3Qb3ZMrPxypIacN
6V6JRswBq6e+0KzmXON9m6HfixBmEEHcdl0zPJtO/8lSnywjxdXNFFfi/1F3ZsuR41iafpWxuWcZ
98VsZi5IXyRKCoVCsWXewCJj4U5w355+PqpqusIpb3l79tVUd5tldWYGHCCAc3DOv9RYftlGHT+l
sZuHkaE4925kyAsUvNNNyJWuI2MNhx6pxjXF2laPekuqdjOb7HdZ6r/muiOvkcIq74apsS50EE/n
9s+xaG69tPYIBlu6fCtbsO2WooVTLZW9izAWMkh58SgXL76tQfHt3z7Lp19sDVecYqQ9VhFekAfb
UmOTNplQZMLtBP1iD6LZQ23G8rJLFf1N5vgy0Gp6wOoxILXUTQIuyyKDzsalgVMY+EwicZr56jwp
e2dRef71XfY4lsmEHeUgH9y2HX7IEhSc2bfGg1WY4tEy4umSsPsLkOjfe+nlZ/GIpytMyRZS0LYu
5/Se7EaYf+E0ptMQ6BmQ+LFJrZvS65zDgp/9LZCy7li47rzrZ3Xc9SDAb82yrXdCOsNdYSCxAS7X
8ivAdkeCuLufcumFttEth5w7ZfYHiUtSitqnu66tsjPsUdxMsEN2SZ0MOxRd80CPhvpe1HX6Ls8s
aKxRcelKOPOpIemumsHoIRAiNtd21lYxEuemGhp2awbAiuNbEVvVhSvg1WHh8NNeN8BgrJnOFlM1
KcM0AYjTwla02U1XYfbZJMILOcqXDK/Wy3/77UhdTBi4ADFeyVeKcmnRXRi1cJzUYZfYqbNXFQs7
R2Vi34DL3QlNnR+hAlzqQ5ybpLcCCYBirDrZazr1W4M4tUcj8ppGCxVp4YZYMArWONX30h6Ha8uZ
eIStcvGsJEwf3pWnQxUIU3XLrGlhk/TeTW04DmScMr9Qqz2zN2h9gY1wCXEUiTejKFmu1ChncsWl
VXVMGh0zC2Hs3r5rznwvurJoHKzgGYh/mysgaSNHJuCJw8hGaS1q9epOFQXQTaOz4XNnuvOcj3O+
L6N2uhAOzw7tUPtf/5fX0vpBf/tgvS3QvDUiPRTZnL+virb4bgM6/rTA9fiCKAmkI92DpIUk0oVJ
v7rQ1+/nAhVa5TRodGy2imisLhnFooV4vwwP0G/jw9B1yR900qdgXOr6guTQma1J9ke711gVZcjK
T2cKJVFbpVQYL3G0p0Kp+5261CnSMlQ6g7c/6LldwwsXmWTyd9r+m1WtuwhkrLHwQSmw4YmZxQes
ZrMLK/hKx4MYBfiJlIKd49LH2eybdhY2vSgTY1wh76a8on4CJTFW7lU1gupDRjg4P2vDfN/H3jet
cX28e/a9BeVmLnUniG3rwm46N29jBaJQiiQN3rYYkJ0DYlamOkG6KwO7E9ldMVj69TcpUXltdPJm
oUC9SabAKcf9UtVGmOCJ+4zgfxZGaWLtl+aisMy5TcrrhJjgrHzCbUavohxbpw5DqXXc/KUuECaM
eLE/Cahqt5lAGfXtjUO8Zxtu7m4eK6AH6OXSqdleOE6BWCMVayucWsVrd148Ws8Kx4dyrtsialGQ
nI672TJRWxcC5+V8SdXJd6asujW0IqKSZs2m4esgjx6KNoZbUseJNlGOssYZJcsKHLiZ5M5t1afa
vFPcvnkCMTV+7JsCAHWf69aCgUKx7BC0hDSv1p4JuVFT6g+6meMerC2Z+slRRuexwxvKBY5eSY2e
82B8HDrH+hLVQ/7sVkk5H9TIKPbNDLftxhvi4llrYK5i55Ood96gNb9cMronoVgmNDYQkT8lV0Z8
UEFq3eGR63207GWugirOiR6RqzUPbmMZxVoijZ5JBz20CWJoMT7B1S1uEMUeKGfNk3U39amL6qDa
dfLGqGcMjUovjX8BvoX4qfa30AIWuYun1vxajXlOZqIDrNgZjWJCkckIJEFmTLmgFppaCAc05G9+
qlTgHUwnhqNaTI74TBmi+55YC0TLThTDJ2gF4pNXzsl7a0ncJ0PAAwnIBpQmGKYsz/CCjOzMz/Np
pMgtsuLZdYT+Y0ZgArx7vCB2ZanN8nGinYJbInKKX7OZcvle6vi/7usSt8xRKShm24AK0kBCrgn1
yKnKAHfq5nM8CxobBvKUODCPifl9SaORf8CsRr8mAf2jUtQMK5WuMGMfIaMIiqZqruSZccC7yTDb
sMyLPN8XxZIdx2TSvw8UnicK4Vk7+8h+Wl/gE0K+bPQR3c6i8LI/o9yDnlnrRaHu6lrxbL8qMGB+
+1ycORUIgq0JBRxy0HWbm852eEwbzaiHBXDOhwoRiueyhztajMlyp4Hh/pgP8lJYPnObAWsA5GkB
2yCr2UQo/K6WIsbcIEyk26Pj6003NdWgw9tTOxOXQITxfuIepwOxjYMRPAxTl5MRpsKiPBl5X1Vq
FrtEYsjx9kjnnhp4GpEzrVo9uv4iAfJbsF/6OLVxTzLCpVVHmGLMejeuRGVbAazkL7Iv0aWlkLJf
rLI/GhlCxDVvzZ0lDIGhId2nlCrXl7d/1pk7FgFt3sQ8gBCj2kJ+AGOqJu0WM2yLvnjMAeahAIpl
hlRUcVDt2rk+cbTIBOg1rQhlZ1t30tKVYqNMegj/adVyWNnsMAQvpABnPuuKKqKYAdwa6P9mxzZ2
vyRl4Rih68C97iFf4lGH2km0xOOFw3Fmn7JD2Z/qWqTF0Ok0s6l0Q4C4s42QZkf9Ad57dFO546VX
0gtsbxuZmMyqX0VxATeu02HGoR7x31ax0lg67whYXwTdWIrHGRd09HzN1cc7aWFiKXIaDtnQi/2I
psCFdT23W9Zy/vrKWG2UN2nc0vTqIqVnhPmEog09zlaEimKptJFHD+a8CW/p7f15bnk9Sofr+bRQ
O9kkcygANZoEpRHWqZh3VurqQVnxhH17lDM33KqtCIQKMCrdvTVR/+1sDk5TpUgamaGF9Tf8649Q
iR+mBNUuTXt2k/np7eHOTIrcAgPXNdVY8+/T4SidKx6NRSPshjKHTowFcz3ay/U7k32w2qhh4/H6
YSNLi77YyKQiBQaRithzoJizc+Fee2lkbXYmmB2dxwQh3oS+djqZqc5hwZboImH67vSBh4ijehvH
ffUYxXZEnJxoj6GsjTTZvlPxl2YXqyn8uJinTYlxveWXrai+pMYsf5QNpvcpx6wN8qHCwtRqQMjq
xmg0PuAP4G1Opfc/msR2w7jq8/c5qKRv138d8mi+C+hnaoabTT5Qz3KWXjPDpu3jHUKUDgpuQ3z9
xgb1uMJlefvpwL9Ol23kDoTEJ/g6ljp8XNRs/FoMaKa/PZdz9wbRgxNE1Y4e89bsO57RS8Qc1wzt
OLK/lCznhzlVHCdQCsu4Sbu0VeGFG9pfczNmBwQX57A1LtbZzm14QKVw2tbOIz/kdLLAHcjlLWmF
elNo70ZRxX8ugqTu7cmeufVf1FgRD4YFw4E+HWVxTUVJZh5AZJXf51REx8FS0Vbph/7Csp6ZD6pv
9IUwR0CFaftwz2fH6PNa6GE8wQ5OLIw0C8W5rlX7UgU8ybu2G9GyspIUmxSo15KDUqSuP0qyy7dX
7cxcyEvW3IcVo3O3iSyGSzEgjywjbChA7HOujX3cx5d84l6R8NbmAg0MoOFs+bUnfPpxUCxPER7K
zRC9i/fC0n4NCGHAuu4PrmL95WF1nipfnFp5x2XyvGSzHlDUf3IzJfMBZO1at5F+1I8fknZ+6hp7
CXCG+BsrwaVMeZuiAc3PzXobOFo4+sxKzLpb30VAJA5RWisX9s65wgFAMf6oVS91bS2ersTa62St
eoTkYhM9kNiU9UDddTEfE1z6skPV9GjqFSodQZ/HQZk/6EtGAVx4Mvskmyhqg6QujM+mjqnsvo9F
6fiNKSlZXb8x8MoCvbH2eoFXnP7OqDJSr2wIvUU/OEG9oIWhpoil/I1RVjwvtVnoINsK/ER9r2PW
ZlhbU3eQ+mAegF41X/7GKED29RU1TNVivTp+C/DJMs6xwBqDgno+7GvVLo82+KILG+j1BbS2zOkA
IWfKfLbtLZI0ZAwlngBmr0aHwUUcw0u07oBZyfXLtg4F/tmEowsRQj+d0Ix0eW60kntdXRV0qAWM
X50YPv/b63ZuRlxv9JnoR3iE+dNh0NPqEwUsSwiWHeqxk1LnijLLO2B6IJ+uH4vWIH0fbiH0NDfn
QgLhakyb/RbVTgT2z2gDc3SVcG6kd+EMvs73iO/E3RdKDpzWTTyiraMnk2JZoRzn6saKTPlYml15
pBnj/gWAkBf70KmX9uDZUeG5gsHiVULGdLqYSdGVmgMvLMypwTxqSCjavloqCzqO2LCu1q9O8dOs
kvEujvGfJ2XDwOUATFlP90JtZ+l3fW4X+6VFamYXDUr6WHuZ89UF3ocdSt1MXzpEUp4aNEh/WK40
vVWgtv060rAbgnLBegOTa+MLKH7vSWiTm0J4Rskvp9Dzrm6n9hnhRs+ly1PGx67sCt71hV2u2id9
hdiS7N8LL5bf0maqNSQaKBoFGdy4xTcKL3pqpEyerNjSPlHybhpfb1PxserFgoyHE9k/UYBKLnkx
bhT81xhJm4yQgnwmGTW3yGZN66xOrNazww4Mm48ypnHTEGrwFOG6Ai8YYdJjf2iH1LjJBdycKsPJ
yZ+SpLj3lETu3t7Cr2Mpv4KSxRpPSbi2EQTuem33JfjJAg23nQTUEcBQci9cmef2EaggGs607db6
6OmcdYTfrazR7dBMlOkPfKjaIJNJcSPaJAmXpUOlaai8C2aHZ6ZGPxbaxQtihKrM6aCDpveGheAD
5YvoDw2poyfgtvbXt9fPODM1oHxca0BhyKu2sRFqLyo37SDCXo4Z0m62it3JPM2jckC8BYa+J4bq
rgaILHbdkNt3vaI27k3uqNndMiFbgNyaq+B6k9CUJYswIVe05vKugYr6A8kEL9rzfhBekHuNfoiM
ZaS5OjgIrFm5QZbRpWib1lhqUoqZTI97IG7KYlcZdW35Qs7yfQ+PL0dym8cQ16HIMQoqPNoniijz
j0mCkBjknzJ3/KK1u9KnttsWF77/mUuZywOoAdUfpIe33XGcx0r+EzlhW45yN+tx7HddDbAW9PH1
9z+hmboGxT8bhNLmqy9LuWQcdocUNLcPNdpWOwUw0jGrYL+9/e3PbDCgBUwKshbX7Iv0+28hmrr1
QKkdFHuLLvneThr7CF78Uh56bhRzhaIis8t8ts2hDg8rPZpKN1QWIPE8A0ukZRZxIb6cGQWuB8Ge
VwINzG1RSC8QykUuyQzX7uWhQ8/raBSTcgEBcm4U0MNEZQhEr0tPc+WZCfxjMyzd3jo0SCPdVJKq
4dvfZf3Ep+970iWavetnIQvYuoXMZkb1i6uB3ktBpUnNPpnxfOMYCz2KONklwt7Hi/Lr7UFfF5oY
1HJWmj8LST5+ettUjt2h35VZoUMAIfPFeCgj5/qK+px2jKOYz/b2gGfWErghcF3QSXgXb/mIw0AI
TdIBDxSczAJUfdNdgtjN8dpR+EwrogUbX0B3L0+D3/b4IKJUdfoFJJKb1gcv6sFyTZT4rx8FrgqY
J2AtK9LqdPEaq3U6fc49bHdzxMMkCnwJlhbXjwKSnLwPjKS9KuaejjI0OHTMovFCZ+3G9HrTfrMz
OuZXzwU2Dl+GQgy4SHWzEZJUOGULzjgEIxI9Tb0zHfIlyz79jVEgpONPQ/5OQn06l7Gx5ljTVoxd
iyA0elx4yc1udnXte7Vs5UowKH7TQd3mf0kRVZkTi3BxddWfFmOh41BeMjB/MU04PbAgTwDLAmzC
85sU6XQy9tx1Xg3sPiwzqC8uWdoN7cgUMUzsBhc7XhFNs9y1wzzdK2Up75XOFDdVimOzq5bu3sQy
966KIijyq9PowZw97/nq9aafu1ZpKAmtJe3Tn1hm5mLUFEH5iZp7CyJw2Nm1cekcvI6TJId0G2Cl
Q/VCKPB0FLca+iFBRzOMlxdtiDk9IO6MEbWeiguI0NfXB0O9vPlIj3gobYZinrVEPAhEqJvIH3St
k3eVrN0LKIqzo5BWQh9EeB/Q9umEkJaUELxqEcID65AQjesblSbzx7c/ztllo9UHKYyCOwCf01FS
N05it2IUt63EXtWj+GAlS/4w6oi9Xj8UOBQIzOvhe5UvxzoizUbXCT5J3QaajgRqKaCK5R3ijW8P
dW7tuEjMVYYHcNSWvG917dhVqJqFpSfndy6S9IdFT6ILo5xbu1UfnTO+wkO2+yCrNTD6CvlrLJwK
QxqEFuMYGlE+lv3t9RNaMeMrFZquxfY2GSxdgYs4izDL22yno8F8cPKhv/6WR3mAAL/yGnmX66eb
QY3KBNaKQZsnXrLPWTl9QhNVv5D2v472pBCA/NkBLBux8XSQQTGLJK8TEfI6VY5AKrJ3mkQ6NxnU
4tlRATBcv3Q2TQuwHisAagtnjWm7Vy0Q07BDtOGZ9N944Jq4lKaf23HOSs6HuWGuDZjTWdmRoQ1p
zgeifjPtFzT8QtNcvA9vz+XcjsODA2E6PEiQxV9/xW8pBZIwgEHaUYTGoCW7CLGIh8hslZtaFuPh
7aHOTohqCbsNIAAn9nQos5GalnsMVZOUfsOtZ75LgMddWrezM/ptmPXv/zajBkG0tOgWLgXZ6Q9o
HT8q0ouPldLXFzb3uX3HAVp7cGQy9LBOR4o0MTsIJvLabLtPg+GkR0RnR58+U7e3LXlJIP/cxOB4
IPdEPw7pg038n2e49itmOFwy0/mIYGL9RQq8JnYimS65wGz4Z2thhP+A0ILoRZfpVVuuy+hWLyic
3y2OhSEXNdzvAG7k12FwjqicTaE6peUR2xSd8qRW3yKEjb+oPomPdBObGzm3+ffW5a+u3kOuh1Uk
NzD/B5DsdMkx7UYpfxjs0Cn6co+PjPa+m1Ctv3oUzhtLAH4cOoNjnI5iKV2Ra5Fhh3G8VP5aZ9gn
nbzkwHHmPNDzXD0PEEkk6m++51g3gmoSc9FsTEy4rMaHqFaT61OLtd9PNAFkSKF3m1pMUeW2NTUl
saQDCLRJ3duN011/tuHqAYTlDllNNrYrNlc1tFzbDlW9mO4w9ElpT8T11S9WHgsk8uh0ImGFGtnp
d8EcMUo6rXbCYjExgx1dAditu/TGf33OINTyMiFosWDqtiboxSBqtBSWidRxKClK6T3QBnX3edyp
VwdhhkKeYh2Fl9Z2QhhQ57miVnaIn7OxU9sExVbHvJrqsc5CfZGOcLAj2vaK20q3cs9gFFS/ocYn
/YCvNGqcsl8uFVTXL3D6eFiHIqFY2Xec1M1uUyZl1PWYPT337hcUvcMhrn9ETv9QzJwkNLIulBXP
fSvwRwC80fKDt7W57CuEP0s8NtjdijqDvRvRCy7c8tjmcfLfHGoTjxVcyRAwZxXjUtWDyR2HZ7fW
rfvc6Jzd2/fP68CyKrTRNl9vYC6gzVAa5fwC5V07HBPryXKaH0bUfo3alfZelT/eHuv1LbSOBVSB
liJl023JtLAxwG7WamCiIJsNaLPZ93ixXAiVZ77TWmcnywAohsjn5t7u+8lTPHNyQhl1UBTrRLHg
Tk9S3xXt4F44VecGW2MWDVLyAP7i9JpQNUTI28h2wmh1EleAiALbXL4POcfr6sUjSafAyQpyv26v
vXEsvGaMdTecKaMHau4MhwYA4IXFO/OJAKOvK0dJi0O1KS80tYOWbry4IeQQL5idmSpqI39ePRUe
ngQj3lOwT7bixLyExyTXqS5oTQckVnbFTS515dJU1g+9uSBIZukJ08aiLrzN1UcdDTmUaUXoWGLp
92olrO/lOKQfGugSH5G6cGy/1mdbP3pOn74Du5rHiAchYxxUllliMD6Uc7rXRyO+HSyj6nyk9ie2
1TLjfpIINCQyfA68YJpFT80d25I7GzRO6jeOWFofblL7iP9CnR7ZrNVTIqzqV+5NsQkOQ+/7m9ap
lO+TDbIxoAFjN/4CEDA7NqM9fJBSLAKHpbZ5oDeUDTe94mJ81mqFG2BHIu19LZD09RtXFvNtpJhu
EbR5YbxDfy3BJaNwMtARsgGeJDVwNGCSNOXC5n/lcfry7v73Cm/RYWYxaUDvXRGm9mA/4GJf7WK1
jb6utm67yq2o5EhP3yEupn9AW2A4uovEkC1b1GAaWrnPNW0IRIUXa4lkxcHOlirAzGh5ygrxqTQw
OBJqkj3aY+u9m8v0+vQdiQke2StZELjrVqbSLF3Rm1arhJYn86CpK0wXpDqiHWJ/f3vHn7kmcFdb
a9No4614utNrYsC+fo7Xt6lqTu7OHXBTopTvUC6OLynjnTnB5JJUOVFzIOJvFUYFUhH4BJVKqERF
tBduXh1Zg+bC4To3IbgkcEjX9eNRdzoh0eiLUpWJAlG1mQ8uvi2BVkd/mJ1q7d5eunPzWcMthULQ
Cq+LB0ZR5MVsKyElaHc3jMlqmSHH6RKk5tyMqLcALGbVoIutf/+3txxtqhhhnTi6cxwpd0vRlp8d
eOY3y+KMx7en9CLkub2Z6AFQ8aPwgsjdZiyjxgHBNhsl1IbpgfDxoTHkp3l1KC3yOfVtJ1Z9uyw/
KGV3NAflUzyhnvR3fgMQ71Wf0sIOdF333+ZL0lQ3Giim0Mjt9pclUPyDnrns3BJUbi5sz9dEK45Z
0Ti70dWbJ7fvMJklCF39zlpJ49SaiWxrvXmTaUdlgbiL0ESIU3l/V+KeQ5M+6q8PnyDUaDUAQ0EU
f7thq4m+6JB6BIPMtTBzqN19qteXzLrPgBg54DTTeKmTebxKSptlVvK4rRS4ALp2p+dm9ymNtTFI
hInULmiE4bYbFO0pmRfvcanU/mO0yOz929/2zJGhSkmEBdnMem5X1NRqW1s87jUbWvdzVCAzNei1
vNAjOHNgVlAPD0owDWvZ+nQDGXo5opeTRXeFEOOu86T+vDZcH2KMPS+Be87MCKgCRXiU1RxAZ5vr
puyaYlmEooRC5YAEuhg+1l3WGBdaOC85/OZgIp+BSBoPslXDdHMoUqfLZtdgnGRYHqSF2QW4YD8t
43vsQG7bycMs0N2RMt9PY/JuNqLb1sWcqO2jx9zOdw3YjQ4U8KQVh7Io/uzy+pBm9T4rvJskUmQw
q9POWuExiXFJwOjMcwhYJNUUfCWQAdtq2mpzm025akZ3wCK/9oAyfMqUUKVJIAqM6gxpX89e5MCu
vWPKRBQnt/lVARvDjpYmQj007nyz0OZb4txw4SF+7rJkAK5J4hkk5W1AwzXFxqekjO5UN899UaTH
OM8hfIC+s+x3thhGn4/yV4NJ05za78feuf6CIrenkog4KD3ybSs0r2CnJfEc3UHy0n4koKE0v24A
R119ahGOWavkHjUaLubT80QBto7RtWKYyTV3aYZ3IC4w2YXAfe4kgRwl96aqRi1+k4nMg4IxoxTR
XT6aEYUNOQAAwYRl3L09mzM3IXVy/oP06crX2ap4Sax1sIEzk7tcKxzTX7yufNIRjol8ZLsn8KIL
aBY/0nsnfZ+PXvyB51WR76Nuqn69/VNeX1SANdFM4C1IrYV5ny4smM3ccFWZ3aEVe+u6UXZEjsIh
lcguFLjPQLxW/jd7hTuR9s2LH+hvMTXN8k51wTfdZW08BYuwi28NzOljAkSWVL1Uhp100diK6xkz
tIIEkKWYO9Zfi+/xRxGX+HDnvgIP05UPB/iMYsnm4lwA41lLHZV3FZ/9qa7q6JFiSvWQiT4DGiPn
234uuqc6763HUtWGECaEvLosyBaw2XAQfbkvtmhJJ3WNzOnKhNiu9X8Ie7VO0kq86q/9zLxYeVIy
DueUFPj0M3uJp3VDgo5/AcNnPy6DfaQHMB2lWl16i7/eUQ7V6hUaTvsbjvgmf0vLJqNDrhOOolnx
DatK9rgk9gCc9Is98pe+1UlMou+85vKr/C4Y7O3DH8VCmnM2ur6OGNpqN8EOFPs6JR2769oWR/EE
WYBPxejkdOqrpsYNtRmx91tId8KWEkEcqHXlPC9JrXnPEFO6eFdEBux5OD26vLdh008+0jN6tlOm
oZJHW3a9HmSowP+qB2obWjVFf5l2lVZ4vU79B0zAotE36zb5UmTaUKCUybH1vbidl/eNXkWwIKNW
3vbGKklodQb3jOkMXzpwrN1uYKUgl/KTUA9Erwp3W3Ppf3lauXzm6YsEXuSRk/piyYrhJpk9/rmu
kvYjkDcZ+Sr+gPW+HLX2JsuyavJ1keA4lTTxqt65jF+KJrb+VESiQ+adtYLHfMaD2cct0PyZJYim
HlosIL90aIN+YgGnu6JyoIWVU1Q+jJRejD26jUYcUoydhmetRAp3L5Fwr4PaS2rDjwVCBH6TVsri
D0YL/0DMTfXJkSkMjkVaiwzGYkZ+xocIZxytpGXdoh5jw5lARWf61l2mSd/ZSjZ8m7NuxCetnKx8
z3OaLm/vLUa+n7vCVu5MLD7dhzxJ4pC/zObd2CMAUe7QH1cZJerSm1qxx2/4BdZYcuFawUXbtxme
40o2ep96vVUmGKmp91wjPUg606kUY42haD+0s6NSJp2c8Y5wZJm+K6VdB3NmueMPoRUyf9fqWlFD
bliciqqxi4eZVmjaTxRD8udBw6IxSCPZDqQ7kfhDa5VxoeZRp+2hQXKqOtS45clDkvTRD5F5PPzx
QoM/TONZSwMh2/ILQbVusInXnfhmyvF+h0CxrD6pczZisITvX3ZUQK4pu9HrrNmPcTWKD047QS+3
Z0N2QesNpgNotzPr/Uz6gPOsji5lsNj4UPlmRu8G2+WigpExKxOuQHGJL6fELVFnC1JZBfWaS97J
yGjpmN42Lh8JXZplv8wTf5qIOt1DBkFpqmOKIfu+63nMB93kLtVuTvQa2XSrIKh5gC0rX5KAPRYl
7FdqRci+7cCQx+8mExyf7/VO/pjpLMfBsqc8CnCUTNodQqjMrB+7svXNJZYfHWmKwXc7I/k1Ri4F
smmq8tbHD8F7LBVrwnJu6W3Tt9O8+QxK0UMSVomN/KiQ/vXv3Sq3Jexcb7zXtVH3Ao8Oie0rs8CT
yUKLdrrvGs3+8nL5XqVt+Fj9LJ+75ufP7uFb9b/Wf/W7rOYmieLu/5z+1/af/z36KXffum8n/2WP
Zjemt/3PZv7ws+1z/lX+oH/9k//Vv/k/fr78KR/n6uf//p/ffhRJCQSua5Lv3e9ag/QpkKRftRr+
c6lC/2cZZX3en//3/iVMqBr/gHpCE4+3tIb4GZHnXyrNKmLMgB5WxXtSOvoi/yFNqKz6g1Ryydjp
/KlUAwgi/0+b0PrHWlJBdWzVktG59Y1rtAm30Yr4gTHamojxI4A/bgKjUwyiUzgtR9L04XHpYY1X
Slr/sLP8r9/W5v0/g9LvIrGvGJZAYnliU93nlU0xZdv+aTTSisWtFwyYy+ZL12WLtXfxFflLw+q3
DSq0cR/NknCEY73ZfMVUHmsRhPq7JhBG3HT422K966tJUjuHculxL15qMaj+CIbwu8SzZuaiMCmC
tw4XmZiwyeFPxc6Vl8PwzSD7ugS3hPdH4vB7ALbgViJ6yAtkdT8i8p8mFjZOorQpCv3oZEP8aAyN
9mXuWucrEGFT2aeJJu2APYSJ/FxEXus7ZQS6WdPi5Q+jN/var916AmPP9ar5HY7OUBqnHjvcuDGa
h2pJpBFEtLMfsqTNZEBsxg7eWaJV+Ip/fL6l2TF/KF1lrnFpN0cRLANHfV82cS0OnePKn0R17G5h
nrnNXogpGw+qNWaogFiT+YfUOtKBPuJqaq22TfZJbWUfaqFZyoFEWMsIiE4EOVD0+g8+Ga8PJXI6
zLj19HNaRONyMGrKz34qbRbdcbLifnAQKtiL2STq1tZoEoYdxDUCc7IwhI2FGYeg450junnFDzgs
Lr0lr6hvyrLxCIw9Rq1BjHqkGcB1guneaZhIB0NV4msr8eAdSY/L7L2O93Tkc8lwyVfFqH8Ty4Iy
RjIonvUe3kSPv3vdQe6oczk/8lJNvmdFabl+psxZvZtHdcLxMRfL93hovT+SConqHQ7S2lO/NPmT
U+LHGWRJ6mo8zXVp7XJn9O66punaQyFF+WnWq6ra45HeqAFFTg+eCh/ACbRBb0r0RJo82438xhit
zTiyfATP9PWxgzt7sIrqkvvrq0KD0TfpHrmduvIzrzbfy6GWiH/j0OsGsVHk1rGDVAZ+2Bq0n3zc
BLC3GIZDUQ7kMXoaLeY3Nv/0iOIK7YLSKd3Yd+MseezcWd45g1Fl970CXBHKSDPmP6x6Ht7j1C2/
9dKZuwNCBypJUAZ3L1vm+Vij39LdpnWKq3InrWb8s0rwcv7Lqxd99ovaFv0HWsaIiqCwEv/Cddpx
D9qA39JTnWKt+zgbqEP4CAisItrdZH4GsTZkP/Khtag9yNZois/aZIDUSOxmxv2voqftPmFl3dg3
HeLiz2NtoRmvYwlf+St0ytx7IleoNi6x+AwF1/s8NFCxg7atEJpOqtib1EPR2fy/ODP68NgXvcj2
OYydMmghDQ83mtXgpS7U2hyfE0BN0cGekVM4mB30fLypk6IMPSubvaDtEuzny4YGter2EcpjCBJi
rGzFjY/MXvTB5XHEhdKO3kGpje59P8Wc8+uj5kPyvZGt/NWdhsiXsPfv+Pn/W2x11/cRLTdefIDI
qabbvDz/8zD7ogh8Rg343J/yr6BrElrRg4WIsUrDEiT/I+gaDqYJOoGd5z4v39+sERTzH2w+SDuA
jmnDrNynfwdd7x+kAzpcWoKluUoEXCUI/FIV+i1qAErg1YvGFTJtdEgIiadRY7LMgc3YLPeoZdvT
Hq5lD14rqQcliBBPSn05Z3no4vL1PS+s5jFVkhHbBImpnj/ElZ3utGExfuR2TGdNyJjNrWb1Bdm6
F4DJq1+5Cg0C8gIpZ25qIy33cyPmZb7XMnu5K8d5eZ7AzfWky1O0HwVoZLyKUzRX8iZozXy+gwyB
RbScrTtTF+3XPNcu/SaSot/j7T9XzkHkguKRqkOBPV25duTyFkm8kL8OJQ5o8KpwAbb2DdlUGFXd
s2WVxtcy8ZSgHdV6N5Bn9b4VJ+NBab7VDex2Iy9UP6qW/BOqbc2FQsNLE3y7aHBakfkAtw5XXD/9
gfmML8QAQuN+Ss3mHn5rexyiSD2AJBofoylpHmWUU6uceQek0LzUeOetTzsU1dJjEvPWkmmn3amI
Ku3zxRt82wVWXlTmgme8Fh+MMU8D22qNg2LUlzxsNnXil9UF7UEdDFLp+t1PfzxU3b7R3Wy5byn3
/JyNHtkmox+DtvaIsbkXP+R55v2db0o5EE4OieFrhGnnjQZ+x91yL0bD/Cx7U0HMwURBDABK3+zm
yCmfdYmYEFV+aEjZnO4UzcrvFpolt4kXwa7qSZO/LGAXfKtBHazFs++6QhVLA5sLBZcVNsIfZm8q
sJMHK6+RsXqvAynctwCZAr3PL4l1rwt8unsAvyAiCqWX/0GI5PQDzG1koows1Ps0Hr/jBz3ed6AQ
5mNGBWjcz6YoRdDoogeBQ0D+Q11gt18oAm8hl4D8uQGBgVEBxv4OF7XT3yD7PEurRi73jtBKpPVn
69ggdLwfzTnZ9fQMdq6ddbdNY1RY0094r7fj/+XuPJbjRtY2fS+zPjgBbxazAVBFUyxKbEoUqQ1C
jgAS3mTCXP3/gGdOjFjkqKJ7Ob1QdMgwYRKZ+b3fa5yDr9XN3TI46sIafS1aA1udgdpfwKxXD2e7
MFZLyEi4PODw/PrCMmxbROqxahrkdH9WgF8XEuBJkvWRq2ss1Ir9OPbHpky8j+5SfkXPNUZdIt3Q
If6XqA/LuTKskcgSyHpYzdbqqrI166MhMYvwKwzoJlCpOPWyOfb0TguxiwvClhT5w5rlzTGroa2x
UOZXjcr1vc3Z9A6ft/UymbVub/VbIAVth3OWW6eNp+2FUAHiXc9L5n9OSUu9PmOPVlf6zTrL0o8M
Umc+Vy54MAFm3a0MEu2+QW6978Yeq1ZhD/4BlSmNJHMw8gdN95NPozeoPRxk/14HzhodtzFDmZWo
s/txmT5lCO7GfT02NtlYw1j+NHq84j0NcWs4mHkr8dIItJ+/7eLvFIRvd8HtvphhTLFtwp9ivzOS
HoHT9Hqjtzj5hkYmTCusyPBaoszP3c+9VRd67MyucesOHmwZ3fyh4XnwwS+5nFAfneYLdnMIpSNn
buXjmct7sxhul4dnG9uzBwPkdLpxJqwxSlz0m1Zz2wFDYpedpCj7/i8ty2qQT5J5bg0OntpeDAtr
cbuU9kH4iVFGrmW1TujaZXlh8hlfzkOplZeeWXS36BtBZTzrrAfaaTPsZZ4gHQdK2L4T6AMn34fQ
JcfsUb+RwSRv6DdaUdOZ1iX8kjWeUz29arTCqsI09YadzMUUSs8L8SsS5t/eBXl2HLtYKME1+B9w
lN8JBP3sYsjoDPpNs9bySzpO69UkOA2Fahr0faA5w5VYkJMare3ui9oq0lBzKIvGySfZhq0pxDhu
iFO7heJYzP7Oy8bkYOvF/GlNUisqR5nvvUR0kaVr54JYfC7uZJ3B1YQtYvPUxmj9ZKn3da2ghlBc
PLaOnLeqH+k8f9F67VfnNDHg4d7V6zMUhNP20MvLg7MKzRJNNMvvyRNzk3JOvWk1bhYjwYtxlJr8
7DR9QhaVPokvyVjSbE5m2eOYaWtVvIwCD9a1stwqdJ0czqTCufj+z9/AttSfPAl4PCBQ9AOx7j+1
LUsbabZEdBk3gzV2hyTQ5Z1wluCMHuyFjftmGN4+pIjtAZx2MQw5SCiYtnmzTJP7E7253u+zfphl
5Jta9wlXfaeKChtdNSB5OWiR3Q/8jp9nyb5zUxvQwxrk12wMlgBBotJ79F74noVqcTEaonjV/EtR
my2mtYE5BM9b5/4c4+HNcoGyCGIAIBBmM5QKJ9umR5qjOS6qOGYdmcnuvGzLmGn1zkXq62kSulJ1
WhEJ/nV9OfqI38MyJ9jHSJLFurWKXqhQJ2XKi9JxGenODAwTe4bmqzDvh5L8M1UOKXFaxUAmRJ0Y
JJnpNDRILPfqpxz8ApOoPgc2dvWZFqMO2OZFqwE/negabRqiWVtXGcqO83uMudRYhUVqr3k8Ol1R
xbkl7GlvEpyq3ZtaY3aRMuZxvUxZSVTY4hTg7WrfK60wnQEltpTqVH0QZt41P0C+ueSZasz/POJu
qx/HLKuMvSWcfIx75c3pZTpiSL2GKEcMG3TDJ6g4rYeJ0+yCOv+7G5DNdivw/E4PrP6YxI9FpZ1Z
mF4k66+mGhrvLYWCdYlDHHyu1wtT3rqzCeCWH83RsR6skijvmIaO/tMuXOtpMLv+C7lk5XcTUowR
mqqTX/2+YMHWbU1Yj4sgzjLsrVRUsY/dlIjbJsGFh9Yiv++tq6bOXfEJwkiVi5Rsi7HmP7DGU7Uk
yugEW5wyO/ZeNgHSjePXNulYF+YCACtapqzEsNae2NeLsSDBDn+H4JvmBdk59/k3h9NtJffA4jYS
DEGxJ1WrvqiMPpiZHavCx5K6IVbzWze1qX/RTToWJUHt9j9k4nQkDHB0D+fMGM/59L1ZkTZbaNR1
CNIQcJGc/Pr9lVPzEsedHTskXHTX1lx9Mr3mnDPa272UMp+WMXoVgAAkSCeVkNdoSzk7en2s0av5
UeCvor9wZaY6OqOWnt3RqBxvcn3ixLT4Wf3cZa7cFXRDP5CiddZ29QSmZxKgZqFLTqNp8wM/rT7K
3m3NBmbvsZ1z/6rXAu2iod19YTsU4X9zzX85kUHLAAJBLnn6hQRqwtFMyua4dO5yaWrBepHRjYr/
7igwKTH4Zhj6/ogmXr9HLSvNppNDc9T70okyZ/bixurbM0XbG7QAvuZ2DxufkjD4U87FqNYkKMyx
OUr8EC40f5YXuAjZnzxSfnemwVHzzNf63oD0/QPkVCx1GOi8vi2yba0umL32mKdGw5Yz+/flkiuH
DcpvDc5bBgGAf36S7wz5onTZhKBbYMsJSuNAtSvR/XdHjfcJ7l8RE+gvwaVKLYAkY2hI4/vziG8n
40vXCFt67MU30szrmxRFYy8tbkrHdBbuRVuJNtsFwhseHU+bn//BWJtH2Mat2qxwX48l/VnPF13v
jkZuoey3rdTtYpQH5TebfX/358Hee5TwP/H2x+5pUwW8Hgwr80HhztQdIW3okeVlzQ14QHdrSsRd
qpjm5cy7e/dJYgq7YZR8b6ermY7mBFtW0h+byaArpGr9mnTB9doFN9r/+d7eLt68tE1xv61XW3zB
63vzSg5vq9N1xykJ3CpaMe6MTbbxSwzk0udi9IvnQWTpjdcNlhZmozedq6fee7rbF88hAPaXdVoT
0O0EWrBkd2yrzNQjQl70Ms66EYTfkutqhl5f1O2+X1dLkjAi+mnnD5VL7LgGlWMH0852rwvNlkY8
l517WxvFZD/RnJMiHsepE2dmA7ITnsmrw4Ln02rlgvFyI5Fxg6l/r2LMpEHwDsXwuDadNntXKDA8
H+wlGGrvg/LFLzejBW/JrNmx6V64YnAh/IjyC36PV0Xexpo+feMMqKD4QidW9ngL5DKHbuU/ldAn
b1SSDeQ5wkNZ9IxujW6Fo5vo+Gn0sL0n0juNog1xxrp1BqN5gMnh/poWemF1AKvA8X64zm2WlsaV
kQ3PZj6qyyHv51iqdIgpa+VladhVaJk57pPIY7nUMrvIiAq6xBDNPJZCiyHqjk+Zsdx0o+XdBtI1
QM80iAVCPfVr6u+TOvDjspg2B9K5gH+ztDdpLZqdFSwerNas31EIk0tbqhuFXdAQakm5HH22yXCg
Ug6teTEhHM3OwCdlNTfrkn2Z22KMq45gedJz9diU+MFZYpC7NM1yYolkPLrdL8OqmrAe5Y0ptadq
ELeQzpvI7tyHRh/80EYWS4M4WeH8W8fUsvxPuN50N3ZVPa9Du3wIluGnl0JyLQXJd6MM7uD5jN+E
5Vd/KdV+KyA6hZ5Mu10KG+Ki6DK4oyVG1MWc6Bdob+LSKRSadz2B0+P30YSRQFT603wpVfHZn9KN
zlJ2pY0r/tIdiw6rktA2ay3n7KyPFC2K3SdulTZAKRl9j7EH9dHb4iQPSpt5pJktw4mDxs9yQToY
pbRvvbCE9pGHnDvT5oY4Wom2Ws1VdYMbuG2hgs7hEfGA/bsRiOcoaFTSp23VlEazXtTB3i+s9cuQ
mG33Eyc0ZexloU/toS0spw9tCYT5XGBPGGocfYwvrjZY+v0g0vRL4ebqq2PkWIa5OWI5ctyt8arq
sdmLkzLDgk4z/SyiWuM1Sctd8qhHr6DC0oTrqyel+g4BzDY+pKJenUss6UlbbwQUxKNe9KkRVo0I
9tBwXAr+GZ5BoQfLM2Vvb1DT13wIXZMPQ1wPsGUiWMTSi02tn+q9rKGmxnXqptqlnTsNTGtfVlf0
W/00rPvR++TNzkYapdX61BBIP+4MoQy19+y5ue58NX/Q2va2n023jucsd2XE9uWlu25cVR8mY5XZ
V+mw5B/EkjXrYczlGERT4BUk41X4r0ekYXQXlrEm34tRa2Ij04hszt3qStqF/6EobYQ7+KeM11Xp
W3/lyUpUIAG/xDTYVVZ/mavMqeO2RbeBDLDXATFWu6sw76qnKmqcpjksZF/cK+o2Y28aQ1uHvo4P
XDg4Q04SSu9R0ZJdgfGNpW2GbVZRfdTQqPElBNpqHxvlpZdT2eppXLKLLKFbTLSdcyPFQb1skuqj
GkbwFc8QyBxEZdhFlG6H31DTSvO+dtS4TbSx+mq3BW6sEFMKOrRqsPJ9uy6oPmzoFFk8FOxoFwXn
NwK7pTt7kbmko4qaCiHDYVyHdQpnH58tOtbd3O9nb82z2KyDbgwnEQQ3RrqY3t53xn7gYgqjiGdv
GptI2NTCSEvG6Rf9bD3d+Y1uXJOqnKX7ZFbpGrrz6Pb7oqtyC0hy6PNr05znZ8zDbTNOpwQBeycz
DePEoqMga326xNQlfFVYPCYc98SYZxI/WiCr0El0s/hSgsf8NQj00ZeSu7ibwZXdQ07YtBGqYGi+
J92qZDy5eSK+NVkti49V23Ufm7TovlasYepRoB7kh+I1+cvImrYLpzzD2ncu2e6AaHqJxhkCMlMe
CDkLh9GTCZ3kwhBEj8t0/SZqv//Qz00i4pKorf5JYSGISHVY9eyYQaFgmtpBskR8LrLY90bd6Lug
tLTHxXST+qLKNDPdEbpE4FkAjc/a0w4PMI1cZfMTpy5Du1ywItGQ/q3TEOO819tEonS1hBsFYn1N
iFhNfraCxb5bmqylulxk8V3Tu+JH59Z0YdIO3CEeukGVuwn9ArCDhC4drgjKnNAx8zU72sM0/CUq
ZUtm1+itkStmbH6VWs2fuXDap5RslJ+OTidO7+vSuvAIb1OHyfdBaTAJFCb7fiUeGtcc83tHeORp
0y4hc3jJB1OD1TZ1846TpmFeKaEZI/PGT4PDWgq1fiBrdLHvBmuiWDHFpOhYFC4UoLErhAFvtV6q
5wbcL2eidlo0enbrHTSZVQEIyrxkkFZ9Pnayufz6Tq+wUtwNHWeVfeUpt76CIst3igC0lSEZc2a+
FwRxT3sjoRw8gJcLI24BBqYbq5kNCK7mKPvwX3qqPEeRSXnUxsbb8eVrF1lhdDdFWztgm639H8zu
/2+2HSwAIPatdvl/8wC+/HovFJhT2X//6X+jgJ1/W1vukbdBlq7/WxiwZfwbOBfhE4dtTtybDWTd
9GP2v/+Xpv97Y09TuG3gKyT9zW3uv4w7+98mhzH0TARjEuAAs/vvMO5OEIyNCQjsxCF4MyLajCJf
HyprUVjG0kJF74Ikaa4WI0/miwms60yV9nYcALktstbbLAmQHpyMI33NWHujPygMU76j1g4ufLzh
zqX1ndQV1LkAJFRLiLW3MvvUcVA4ckWZWw2HKuXoSTcBp/GqGg3SGMnojvmAxN42IZli4as/KCs/
V3Kf1FDbBWwGKR7CChKe34j3POhebUrldtCLlgDJWSz3g1y7Q7aa2pff5tt7Havt3fxWEGxjMd0Q
gLpEsJp0hF8/UztYO5q+ljoUqq4vfbmqm7x3gp3q3SmGBzbtp2LJb4d27C9zjocHtzSTW7lYScRq
Jq+kI6dHuWR9ZNoKSiD95oPqZfPpz9f55tVvptCYnpGWYFO3nEpIE8drxroz1aE3RXubFysnWh1k
6s+jnNRz28PwcGqCoQogyK9bG+U3QUsCU71ze1uR0lnJPJrzylpCvVyrv/wVyXkYuLlxToR3ykl5
GfTFk5gZR2l2emtdQbWjr9YE/X0IjtgAzh9zsdo3Cp/bo+kO4908O+5VNwXaj8quASXbvj/IbhPa
WHZ5I7HDP/OhnbSL/nNJSNlJIcTr943UbWqrVuvldkldIH+VxlBfKpDzi9JJE7BlI3uqUWJEubmw
Jf35Fbwz90GF4VJhx4Re61T62HmNYSXosw5O0nEsNvv8oW+X4sLpu3MRHO9MfYYCq9vkMzRrT5At
ffVGd8nUdJCJ27dRbcv5Jp+LAfjeTMTOxX0gMvL1nDj+nakMcAeVBsjehJ11gjWlecr60g3ToeAE
9c2sR/sgkXn+g1eIqb6x8bEc9F4nazKyZjcNaJEczKRFO2Ep/WuWmbUROUozjWtHlcVDZgHC7ytN
tOvF33+LcK/pfSHP2Zrhrz+k0pzbbLYTvAVSdMCzN3b7Npkep3Wsz9znu58PpDecL7bQFtDk10Ol
VplWuSjmAwfL5JeWOdadsZZTbOfzMxaU7TeVLsZ0KZagfIQZ0E7hAjPzUBaLfCylnn/sbTmeSWV+
ZweBUffiQLXFsJ6SjnD4UlPtlPMhxQPzUq300/OFj5aUuumRyD3n69guVRnKqml+eIV5zv/qvY8o
YIPcvJZA1k/hzNLIdeF6Yj64taq+u8ay7AcbWH+ivD9nRP3uvdJGgUCIOwKGN6+fP6N4XZnX82E0
pYiExm4San2dXVJsNndz7albyuA+8gWU/KZtz/ljvbdW0cLxA9BUHJ2tE0TLcNZKjRgkHNKpA9io
WRZHKPZX/fIdWMCkNvFxmGLnM9czUOfLazzZOzEppLO9CRc2T7fXt95OFcqahVlutVpzl1EZ7Ntg
tB9HbH92ubLKz/4ssi4KumGNCASUH4LKy461SpNnHy/yizRZtb/stK8/psOg7jJp+5GztOm3afDz
q6ymDvrb3yU+d1wtByjdgM3w+oqXLpnWQbkTJwuBYkmtMra0/IdyEnn555HeeS2bNBE2DEdMlqFt
FfxtK80zk3gBj3zuPsOwRctt6ynrhmZf9bNxWydKEq+kmTv0hudssd9ZX308iaFScrJBI35yj00g
dEvoeKXlslUAeaMAK0r6M5/4O58Y9pGculneNnLt9ue/3V/fq6rlUDIfunZsd7XR1B+ogacd2G9+
5lTyzhJHZ3Jr8TLH2JBfWEe/jYV4JbW1Op0P+sLfiJpFtd2FWQ6NBzJniONcFRqMxgRHfBQTC9kz
1lzPRZQAq31PGxdlhMlEvJrBPM+1n98+bZZ5FrnNQgAn8tNrE/VQBXgvqIOm+MxaLE8vO6/L//Zs
ej3KdnD77Qm0YsWOOEunw6z33+tAPkjfvRqm+UuP0XrYAWYmtvz85xn89g3TwaC7QHcWg2vGfz2m
P0DBkwSGH6RXeQ8tTYSvdiFQwCV+Mv/6B2NhgOuTeEnI3ambv5H2nKxUx1iFPUW6Pc07qBdaNGXA
lv9kKPoVludSTJ66+Vu5V9apyW2VyKQul1yUl65eQTz2/XMunu/MDbCMTQ0Pq5lmyMkaQPGyABFO
08HIM9BcXC2uS8QjZzqib49xvCdYTdSdLDTWaRKOvyyDVerzdBg9rNvLmmif7EOr60U4NxnYen02
Yfr9+6KDzUe5qdVO7svVutHURx7hOLGn5Zav3SBwEWc4RO/OPxdZ3Manx8nwpDJjIphVTarxoZek
OCstncl1bfFhtuDZ/HlOvHdDzHMDHyWyx9lMX0/1NNH9zAZHO4DvwD11cLLscIXa/XmUt9UVTGN7
s2phluNkefIRV5SghKUa0wGAEVdBZwz9qSuiYVFpWEkqun8wHO4m9Kxh2OL2+/qmjHqy6MGw1+WT
8I+4+Uwfh9n0npUOdoh1wbnO53sPkdRx9jyQGH49uT2vcQneLtR8SKAeJei3VvzKcpprZx7jW5MD
tHnIK7dgLoxBqVZf35i19FhO0p055CnbbJiZa42qqyzsK3+goopLv5vo6BWeKqLWBfCloYFTA3AF
u0L054f8zk1TM29iUMswYXKd3DQmVbBGCqUfsGPBSjnpHnPwpv2fB3nnS4AbjRXKRqRjpzmpJrpk
WEzp9frBbg1BKFLm3pkUhlegm21xZtZsq/rrM93GSd7SNPCQ2N7k64e75quZFmmvMFB2y/3sCkZA
UL/uGpuwO6iy+UY2noCDcy1/WnrnHDvqvZv9/QJObraspZHUmVSHoSNxzROaCC36ah81o5mv/vxc
33t5vw+1/flvu2qjKqwcixG4o/HQoQWZBUeVcJ9/MgrV/ObCCui43fBvo2C1tSb9NKmD4QjsoKwO
3FicdQ5/e97c3tv/HeVkIq6L701Gv4Bj+fSDWuZlOKUpC8tAKBC+C9+EFPT+RvfM3Hxn99lM4dB5
MD8xqj45JSDz8FF/AkxBuxcxh+EsTlwj+YiLRfpL01USyr77+/gMtZbBuWuboUCvJzebEQK/KB/Q
LqjG8nEpZX2whRo/isQlJ972yCF0h/Qj4pK/bXjLNsvy47G8YasDGvf6Zeq+apK+5HZxP1BXaaoe
fdWCDBK8d2ZleZuWsQ1FUQfziI0JgvTroSa3ErWdgwQJnCIuoALMaWj0pX5NppmPpcdqQBqwhsNU
2sNF3tAjtv0suBCpwGNhHmiWpoG/08ZF53g+evtk7c/5Gb93MnfAydg0oaZtZ7fX19guAv8YO5sO
GlVA6BtVdWxtsA66LnStrDT22bvjZk3bfdmAB0wL0aT+aptoaUdth7i3/fTnr+295YNMFkAHAC1s
Wk9ODcZQOQbdOXUQrZPCDxPZZ3MlO3btg3N+ku9O/c3DiaUfUP50Fi6V7letwc17K1DsPqed32Bu
kpZ9SCPUOuqulkyRmLPuzMnovYHZ+ajx8LfDAedkZnRWK2wPz4xDmXkIkt1WdjdOn2YirJQbROlU
rMZl1Zpnj84v9uSnuwOAGnsQxsigWydfO6Z2xcAb1Q7rAKspDrq5xH/Gs+W1l5SbLD4rH8zKJ6Z3
nsFwiVgu8yuYSwupVo1VIdgpg0sjbUR6IZQjYYMH6erua6tBjG3KeShCKgz1E/1cz9/ufaQ37oz5
S4R+ac1DNvAM2U+mFQ9e0BkEfS/sC9fkJNRzmNpOacRDNmYpLI0SrG9eneRZ+FPy0+TU38ZO5uaP
swMRJgoq2Y9hKxbscaBHm1HS2eLDAAS/K8plQGA88Ldqeq5PK/lLS4ivVXZvLH2KUjOzhznstnUg
8loHATXcg8yDRJTrCJ8hTgiaA8JtjxYQyde5yJyLGVXmEiamP30tZeX2oYtj7mNXqXa5o4bUvgep
2Y67dmpzZNoFCaud9MlBpMWV3/p5ZZY7s5ztPm6LZDD3gaFUFnelbL6WYhq0cFlhNYVdR8xwXLcY
BWG/YiZ2rNAsggHBVIHGMvnDFT/WfEaAmOZhMfV0s/1+KXCrkk1y1xCeWYcJqUc3xar8o5v1Qbsr
U0yAsmlJv6Lgm/dGMBT6nSDacDOIEVUXikLS55VGCtqU4Ut1mTeizmN/izOLgsUs8HGrffdmtRO7
x/ukttIL3cYO4cZwh+6npufd58rqrD7UlZD3CMZ8QrvpCzxMGKcM0drjAnRrgm9e+HUOyOCBHuqc
8MogCfMmUGPoeGPySH/fhI/ALoy+v6785VKNNkylGWlJxpta4KWisxyeK3cEJOgbWJV8qo48GiA1
NgoN3Wh2GocqI8rK1SKPtZVWsWsTr+FpmZnnXtL0We5WfCymrelfrJG1Frh0J4vwP3d2k2SXVlo3
vzAxhR+P2Vl+TaMCu2AN4sMzK36fxRmxnsne0IzkQXdlMbFudksBWdYQ67FC5vZgQb3nVieo/XPq
4rXED6uPuOLBCB82DyO5uRkNs2d/8V2lm/sSgsCvYEUqgBP6ZoIkssbASIAk2a/15pLk91mehKaN
1YSuWdgoVXxUl0MCX2XXvxgtIbVwPmQv9kskWuFAnL3YMg3TZtHU4rzxkMPdeV5bMN3Q6zY7J0+b
RiPMet8e4xRp/ZdMo9wNvSC17q207K7UZG7s9RejKM/iwsPyxUDK2ryksGnGViodNTHFuGKk33uF
+RQvGBsqbRlN9nCiQu/d1clmSCZjX+7QiCp23aUYsrhWxRrcr1zIPVCYmUUWtJnr4cULa3rxxZK8
FH0/z4DAu2AcrDr0jGTOdk7pahhkVBwUmBQlYVd9FowmqYyrb4VrX6xfLJ32bZSsnV/FNtRYd1eA
uPwQemZn0AyQekfeYC9OZNadZcXj2s/LLtfM+iltcKGOiyEd79wkMZ2onuTgxHIz/LdxJW0iE2mU
CdXf6CnKTGsODbxcILYsM1wdlHJyjDziP2ID6d4nmcw8y6L3vnOq0mqM9YWETyNW1lkdz6G4s0tz
CPV+zT7a7gDXBuVI83n1oQqHXZCJltWthnnGSUzeGHOSamHdsbhFjit7K7b83riHCgWPZ8S/CmZN
VhTP5pqTyjbmCjYfkuvgsW7SRg+LvqjYSCtRYtDSVg8pfg95pKsOm6yCptyDFCKo4kavO4f82GD4
2gF8PKa+l+g7b3SMZj8pQiMivCN0arOiH1SYpaaBHAYX9y5G8W76sQX3A/MnpiJ3E5AZFxZNjSJC
K5W7XOWOzRbgtZ1xb7jV+i2fAbmjhYhXHbeVwHoqC7OP7bFsb+uhT7+kRjnedaZRZzt9mGc7prYA
MytnMmE58dcJ/8qpkBGhl/rU9GSNR8XcwB3JSyD/0K+JOQxnYoDW3by4vXNX+OMirjbJ1m1doaTZ
+bMWJEepNGv+C+LpQuqppTXjwc6EzKLNJqiO2nXOnVvSVzoRS7fMUJlogYdcZiqTLvTbzB/3jtVY
N3i6wH6D+NZ4+84ps/kG3xZ67WKpMZziHLJYYKz4vvTkBMXzuKTVLq+N+XFo4dZ9N8eyvG2sRXkx
Npre09wM0w/gX/0riiVr+wGdZOsiV60OHYJ0u7hMZXI/YR3LfHnxD6sMVSxMx9XNUYrO9l+BrLcl
CKeey0SZ8gd/uYidQo73SmrWs2dNSY3/KQm3mEIvvn4tem8toUY1BZQ4BKxlAwezyb/k+soJKUc0
7uzmurc4qoxpW8XZQB8OOZILYBAo30FrXDjlD0vVELWdpkKoPuVLuxO8ijEMVqzqoBq2fcDhqq5Q
a6hxfsqwH6qiNpDrU+M5XR7B10KPRCJtet9ldVdir9lITAKlYX4wS8P8PndCGCFBO5Zio2hUc1mt
HfAjvites+czDrC5ybXpNvGC+r4Ak7jRKyU+pJuu/AYTFetRJqanItk03qPdJesvp/OWWz0VARuy
5vYl+5KZWLvUgWR34Ui/TfjaB7YhGIqFfNz6r2yiYrGe4MsuOW0apGTQ+2ad5HTC/oadPdhDxqta
zGdhm1kZmpMu8nhtO4wjiqHlvkyxaB+sCQU4fs2g0fBrsbi7WWp8wAlIgyuIxUnf7UjjyiKQ8om1
HfXYgbjHBRJHulrXdl2WD7o/9H7sLJ29bYU0F3a44Aefq6FtOOrBcPneV9U0XbB9TLDJUDK60Zxo
Np+UtYhPkBk5s7mFnV/0XUdPD9u9WduNaP36eCD9oURqOwzYX3oj3jTKSg1Img4k15BTRveIIaFp
xBMG4AucSIeP3/Vm/QdSMpHFuMvTxwgG49l3AAguBY08J9Z70d86vVkKHoJXe0+GDblzZ43MyZ0z
mIsTp63Ip4iAUHmZde1U7FNy8MaI8yusFr6yEkcZ12rSo6nqtYd27KrtGcMpjGCETX5oQtW8tydp
3zVzapt7IfSNSx1AgdutY6VIbvYm6y+zVstn6gECGhMseb1oNFPrSR9p6F+jcxzvTGvkECHkPN73
iqSBXTD0i3EdkK2dhIU1g8559ri96kEPdk49AeAus6quW9XqE8xS/EuTxG8fWkx4tLDHEqfATW5p
n/rW9Rva9UZw0UFge7AmmtI7B0jxkQXLJ3kYjg1bb1o5DxlurM9l5pspU1tOfWhgIH/ZWyWPm9Md
sxEz49UOCQpmXeqgw40RzaTmgwUdX3E0tPLjWHlGG0GpzK7F7AeCq6+cLprKaaXaly2SNlgFX/3U
kM1W9rVfYPNAnDD7IZ2jjgDqh8QcxQ8TojfvwPfqj1O+ptW+wFvmF367OCfbxiTyfU1wPPJUVn1R
FCW2R2X6ARfI7vgvuORQcPXFOHDm8C61dPHuRF+gavxXbwf9GFiwWEZfJV/mwnc/kNYpP/650NyK
rDelED3ujTiErZ9+ggTAsNZXE+eqg++TYS7wOAh7WA1nIKpT1RpUFPI5QP9guaFvfIPHjSSz4olp
T4cmp48VzvY6Y8xlDB80za53jeusn405r/c4l4rrtoUfHBpO3qfhMPnnOg3v1dbAHlutS+lJZ/11
tc+CNwX+xtxYJiP4rHS1gE3kmMmAMp+BlbYf9ebpYrVKuw/qHv4Zr4cSHOXhyCfqUAe1fmuJyWnC
ykQYratMP5pzdo5bt1WubwfEgg96PC2HF+HIbyhdq1wN8zFBwv3oTmOk/BR+gsXcihUK0GvR+HkU
FHV919feQCBLQGjenyfUewge4SUYT1uYGfFJvr5lThiJwbGTHh8+8UhnnEK7k7YtvklrmR+tRK9r
wqctrCa1oT3TzX3vcaN0ofPBoRcw+2TsEvfLFkOi6YB7ZEYiiaw/5Z3uHxRFwF9D7aRn7vXd8ehL
YOmEbhcM//W99qovmmym4VL1dqx3Ytm3uGpeaW6Nl6k/3f/5yb4/GvGn3naSxqz59Whm6wSpi+Lx
YFVZcGeV5vq5G7RhV6N2uITbrp8Z772lgRqT/j+oHXDhyd2la41bqh/wJtWI5Lidapq1i/g/tOD/
+F9+/M/k/N1+8f1hQCOhYGz6r5PbqmUt1gCt2aEfxuKv4n+4O6/muJF0Tf+VjXOPCXgTsbsXKEMW
vURZ3iBkKHggASTsr98n2T07KrCGdTSXJ3oiOjRsKoFEms+8xuim+45K+X/yqVB+4PABZgsX/njy
5sQdFjGChTM0GT9pCewtELrp12Ic6y9jnp/TdT5V3GIokLQeDOlX7Uwjau1x4KS5jioIuDAlpLyL
o9LeaJHsoNdYSBZRL5JnamqnzjZ12qguKoToNe4uN+sA2nUyXVOh9HdulYv9GBTyaknI4f6D5fjb
UKuiKTxZZ3EqYDOeBcgStB96wUZ/o0f2gcD8nPjPyflUzoaqjcpaWY22BJHZiobF2FW5ezkibknk
EWBxhEn7brY8/Dc6oE27P39HqoQwrhlTbfHjVWNWPTZjGVvOV6D7sVMSPWNr3iwJmp2hzLqzahun
Njk7LjDoXYFM8Ve7QTgEE8PCB0zZ73sPUOiFdL32nWZF8VevT2sy0GgM68EoPhuL034u4WUfUEBT
eUW0HJDrjXZjG8CrM2vzGVKP//z2nKxlmF7ucsg3pvfCwqY6fTwpCZkN2r7A0nw9GaOQeKy+66xY
XiaeV36sJweuoG6MgK1nfY+TvEu4XpRy18HZccRoHux2Hr8kenXWcOPU7Qe0nEOLWgmY+dWJpVUO
1I+MwtKy+B1VOX086K1mPUV57r6jrp3docEhd37hlIdGBJRS3p6aU4uUg5myMrA9cHurqn0elQH8
PEBsLkqkOxSEimtpm9Mj/Gf369SU+oWueXA13h711AHKzgAIQnCFPNbqrcG/gsNyWzBMheEp2496
hxxAe+YAPXWvK+lfJeiObcqazZ21idWIgVG8GI1Of5nrfd/MCJXCb122hrTqw7hUtAsQgDqDnDpx
qGGaaUHRhe2Ak/Hq7Ba57i30ZAChAfZnFwbOxrHLOFy0rjyz4U8OBdySfgTgBnutf6i1cWF5TTNd
Mw3xZ88q5zIsCJ92iLTIi7e/24nVCuASzUkQr6A815GSM0sf3FdK9BktqowdUC3trZ7au9R6/X2f
+pUCv6BLh6JFLmtybuy4tm8/xCkYAmhLrI0d0NMKm3+8m2PkTqi/YzWMALc+hLjFLM/kR8F3AhgD
LS7d7n/qc5sMe2cqs5sZXKKxpSrtnQtdTyxjqGa45Sj5EyxjV8tY1wfhGzHHCgTw/LKxfeeWEnRx
JhM5OQoNVyIB5IOMdecTyCG0UMlacmpRHnLSW2rs6bJ/e1ZPLCNlKAvrBGMlxPlXK7byygXN4H66
rlvH/TybVXfbkUJ/1rqKAd8e68TGpFEIMgbwKjfHS+r1W8if2x3kNTdgd/SeRBZYgi20xiV/Iht1
d77bUnjyzDG/9hvHOHMonFjCDAxIk6b9ix7Z8eLxaXAttkUCBU68I/9HWgPGuR/pTsjhB4cUWrf3
dRiNNg0pcSXlBlCElGeO3VMzYBPuA7jjnHgFrDTwWWu0dgZJU4jy/Vh7hrnV6qC9d3u7eyybCMU5
gNQVBg+2FpyLTE6OjqwGrXRUz7FxP54DetKZP1M0vc7bYBC7OOm0fuPV81LvjNycm4OoM3GfFZ0i
vOfKL/nt739iRat8j9Mf6BcqCtbx+CVwDchms44FHBqBUveye69znXMqUvwtq8QSCLq63FTejITI
8ShZNiYgwR0dOxTEUGg6UOhNMLXK9cE/M9SLk+Z6LHSFOBb5ngo5cDzWYHetlS9ojTaLHnyCFm0/
RsxfKGHd7xZItLQAvXhjZYnccJ8GF44VYTXgIHcO52OEdUpb7jFahmRjLq14NlyCb4M64gMtl+wg
qrG5LDEbIRhPjWGnufl05zR2dKHBs7zAx07s88Ewd/bUV/tY88db/DWpacHa7s6JpJz6elwA5D3o
wUCVWQVT2Ty78Dx9/bp1elwZMn3Y0Wwqtn+6RpC9U/6/6KUh7rtOC9qWs7vIev16hGF712vSvzQ8
6n9vj6JO6OPvhlS9yz4AU0KOpWSKf4cIBUlDdxjIzvUcaFTgAqP80dTz9CRcTd7pYHx/vj3e67mD
4oeSMmeebxOUrMYbes9oKrtqr8sMoo/nLACn7SUIPvwHw3DAqpgSJtO6RIY0wYyxatpd926T7edG
jreL5XWf3h7lxEXMm7AOwNlTIgvWOnvtKM2CC15eV0NUXPqZWXdhnsgf0mwi9B5GGNS1xA1DAX/v
817AvC8htllnIqDXHxHrJVzpAcTgvkAodPwROR8TjZ/0oMnyepvpuftjxnhEEUFo/qKjH6XO5duv
/vq2BDsByB8YvjIkXqvbpNC0aLXlwzUVbxsdaZNKJKQn7ZDI0Xj/9liv1wywVW5l5EygZpJOHr8e
WDKj7E1A+NYSB1tTF+MuVzZXb4+yFk0kRwqUNasaibIfAlnHwwx5nJmDBoq0mWrtKWpLW9+UgcQw
Bsujg5ah9kqnsjAukMyLP1rxMr/XtICGFfIKkopdveDA8PYzvf6wWEwRlOCnpWBY62VsuY3htbUg
ORob46IT/XiBPWC+6+o8v9faPDoTl5z4qmDumWUDChki0ubxFIAqaLslnShFJHP5DZ8wdFy7zt6m
qTP+ePvVXn1Ul8OTe4KLDpI0F8fxUANGRCNpg8Vs28ZuMEZv3w1pfmZnnBwFphB6Z5w7zjpeTxzw
LsBFrWtIOb8Mv6GpMiD/8/arvDIjIcVR7inAAZHsUXzv43chjGkkzk8uIrc4oG0Hkc/lXqvnaI9A
ZZdd+pj6tBcyDry7JTayT6UjHGynhi4SIVy15HMNnf/amGv3GWyOuAdxHvy0PXVp+0VKV9izmyz0
yNq/+MXY/uJad74lWeB+olG4yDOL4MScWaw6ZLuhKXEprLZbU9PNgKOoXwdUKfdS1/yNZSbGmarX
q6UN/Z0SJWJIxO8A5lZFk5g9iLdZoF8PVKBuU3syUG3Quu7WbpGHnt0xHs+816vFjSUcdAWLciKm
RJScj79SGiEoZKa2cS2NOPk600B6V+q5f1fSznp6e0WcmEKHVJT1oBTjaKQcDyUdkdsi8o3rHs17
EDoSaD92Hhdvj/L6xKJootjyLv+Q/67JjpEEqTDOHQKhwpXXUyz7C4TBssMwawQmyIMAwEUm04sR
Zs6zfWzVzZZgtg52baGZJo5hzrnIWk3iUTzBosGPlpiFsIK7aPVZAx0HC5kZzjWQGmpFqW5G7800
pis0jUH5kM7+QkPXa76+PRWvJ5xhffCBoF0pJa2vIz2dOqeHjnvdo9NzX6bt/NUTdffw9iiv1yyh
LY0K6pmkLjg/HH9WLNg1A2MX95rNc2j1Um5xErtuDF/bZlnz5e3BXi9XPqiDQwRhBWOt81E98pvU
rwcHIaQy3VoBWn9IFuA/FTXn0pETHw2NOtIhTmQuG3N1fsUR6BUALt51oYHu/FFaNLRDo0NbiyZt
OmGqh6dmeikSVEPPbMoTU4rnG/UH+l5UAB01C79lwv2QYB+fRd416mfyijKWR2M4kMWFG+vwiST8
icMfzysTSkhI8Y3/rXM/YBoidV3hX7t1P+7BgPX7qMg78EFtf+bl1LytNoO6EVS5CKUPzoHjl5Nu
4Qh9Hv3rxO0xzDMSp710e2+wL/B9k5fxEtd3pbX42O6040VdF/oZgtaJNaQg0qrXRT4JgeP4ATCT
BRvQuwFUdG+66LXmMfXS4rKj/Pz2pJ5YQUgBYjvPtyShWG/71GhjNxuG6Jq4odq3sgRmlvqDs9Pj
0X7gJ+POlrFmbd8e9sT70ezi8FPy2gShqwkGfoXcHVcmTrausPGV8vsnrStoFo1L+v3Px6KhAOqf
G8uHdHM8l6NyBCTgj64z05nAoIj6svUgVGite+atTk0mlVOLU53omi788UhQs4AWNkZ0jUdE9oWM
27kxg9LYVc00b7tMLhciDpIzAf2JE5R5JMRUQqrEM6szYKkKN9MnBi01y9znHmVa3Kryv17tj/SE
bv+n+hBBeDPodJFFk9jC7vltfSn3wb+9Au++lXgFbjAObL8VJ52IXv89/xQj8v+B1DR2PwQxalX8
7f1nYTZEDo9KOLmu+tG/lIjMf6Bvzy8EEIVJaRRH+J9CRM4/OBU4GZRcAkI33J9/IkT06hzHn4ay
D1Kc+BIStq/WbN0AptSs0r6e53r+lbXu9F2PS/un1sfujYaWnhH+Nl0Pf52iv7egXw1IYMo8UB/R
CbxhBBxvktQuozEFbocDsjt9SFIdzD0A2G0xjeUOWFSxf3u81f5Q1xPVOm4MiwAS82W1aX+/qPSo
FXnv4Nk2SPloLY54GoTVnrkxTo0SQKnVlYArMar6+W+jdMhXzH6pBdd2nI6P1VK7+yV15ZnmzOlR
YI+4SiIE56rVKG3gJ2np8y5oi5GuJCjbLN655FV98t9uPzVjXH3o+tGJRavhhdHx27tUJmzJuZmC
6zqBwI67m5tfABK0xq0pAIW9/XnWaKWX0Wg1I6hE8k7/l933+8y5tmaMnRUF160t6IlkyaztcLPr
7wwJ4HIxmxZ7vqancYNbia/leafk4WaQ6dYkzoRuq7WpnoWanUM/SgU2ZDjHz4JfL5ZuHVeFg7xo
6IJ+pNKZ7LSp/IIV4TkD9FOj0UaADI3COH2h1ZtPgwZcKV6ia0AG5tMkpgJ+gtAOEihkHDqxY+/e
nuvXA2JtRtsOqALZrr5uP+l9rwOZFsmNVU4NTJBW7npgot3e06RAvj43jDPhxesFi6ILulzgc3Ul
DrWa0BRxfMnVW9+k4+A8R3miPUDbjx/ffq/Xo6gtRzGPjgDa1+vqR+HpFSy3pbkp4aF8CBDG/zzO
ZvNnFy2LQ41CZZeDhAqau9p8FaQiNxZ6cwMyqN5VsZduRTPWZw6SVQzBKJRVaG5giANAh6P/eAk2
RVlUo4vabVAt3n0Oz2U3AF24sjIcuHJ3nHeFMIwzC0N9huMdD8lUoQxUZ4ubZXUJ9E7hYca49DcQ
sZZHy83s7YzSERgTK92mxZQ/UCwtDjmW0WdGVn/zWyOrJfvbWVPYLTCCfupvEgKXvVHnGQjdHn/Q
uZLbt1fJS1NzNRY4BQBdJPhUCe3VWEs/ORVQ+/5mGrrkQLk329huUW97P483SMj2m6FbwrqLvAuw
XoOhWCjjTxmBeO9EYl4iMFk+e15W7S1bS3YFutR/PhuU1khyuJMRGVxvUL6AgBbSjzeGPzoHsWja
vUdnejcV1Tl7mxPrjIwRNB2BDwt63QtJhbKstOEKDF1WXCggV1igzxAak4KgI2S9G5rEOrOFTg6K
rxkiW6oyaq+OA5LmsdC0ZbpZ6rq6ipOq2yN9iXxeETQPeKe03zM/0y7+/LuT9iPbwZeHgrguxnZu
HpdtnQ83JaaEl0AIW8DYnIOAtmNn/pA1lYPBKWqzvS3DUhf5ZomreVPEsO8MkWrbDqniC6McBhOK
ijY+DI53VpTrxEZA8gcIp0KT4Ri4yvicOh0QDIzHGyUshFguLmsNAt6h3sfnOOzr8pM6Y8CSwSPA
DsHhkFl9hiFIEF6arfEGJ48OVUCgJL+ypAeWbaAbHWC3PkXfKt5yCb3EhX+neZ3xqZA2MPtlaPRg
E7VZ7JzZn6dmgCNWcbOp1ICOOD4KoM3RekUP6EYrRzyEnSHYyFG7CHC3ObciVIy5OgkoXStPKoyy
+PdqAtx21IXbp9MNkho+ctttmR56OfU7El7vSyUywLMSDm/oT2W8CVLpo/xPFwILycY+U099KXG9
fhgWJknjC4bx+L3B8Pl1ObATzaHLFTQl6HcA5YNbxyydG86AChh8NVnQFqf0S5Y3BwBxH+CosFGD
voXYadJdLeLa/CVMzb1odPibYQpP9FxgeHLh2LCIQSZxQXFlHD9qP2ex62A4c+PZjnQ3qJELaKui
x9qiKXi9EO3iEhqqlXlfF8F5G9poVOOvXJqYSLoTT7btl/GccNaJGJIG6EvarbN5wGYcP1eKqhQ9
LDndoA6HZn69ZPGWMq63Ld0mOkB9c2EN5/2mifVf+mKIr4Rd3W4Qzrycub5fh1gKj0ZXFuUpDrn1
Iq6k32JowAmHktbBHorpzvTSaFMSOV82ojkDCTn5QRB4BZEGhhEADBnk79dnKTq78rJsvmnLpDt4
ZuE+DnC7v02WrRxZZ39nacLc23N85+vQnqKy7m6EGbXXml6eU396qaSsVrLyqafkSTZLIL16mijN
kqhNqvmGhLbcd3mO4wloCVwENPGgRQLRcTH1W1cbqq2hi+QxR9t6K5zJgtw0dRC8zH6f2IV9j5t1
d982VrAL8M/+YULcuEHOMNrVDk65HhwchOhn/6ry8/oWup52I4fEevTN4tlaxu4iLqD8mq37raoR
yUd+/lzEpFbU+lX5vCR7Lyp26xMEx/rOREVpvgn43HtokSAmMts+c1CpkPLVKIjkAbhBuAbk2vHn
tcRgiDqBLjHXVXJH5b/dN1WM80W12LseldkdxtzN+6HP2++Fl/af//zmpBVAfxoAGG2ydfiO08WM
rC4fdI776WKBHoL6HALiHuQTuNBRD2c3yD/EHOsb3yng5seaCJMitZE2wKfbmz0rnGOIoVneTTsf
8ub2zCOqJGk9RZxGBoQakBtsvuMpahv01odhnm9GFIA3Tt8qb+Rxujd98z3L0N9KAYHZq6Ngi8iH
vkEYf/jQsOauBhAI9Fq8vy27/y3GnpTq1DMF1OUp3DJ7a5VU2ma13jvafOMt1fzcEzPsczS+8S0w
ze8iw0AA+qPdbObuE7DfVoQoYfTBpjIMsVzDfE7vtRcjgvbFlCB5MSgAjYhZgYWvbbVFDOOi9OQg
tnEipwe6WVGxi+zGaEPsCOxPJAjyQ5M4XAML52V5YxVfBsRgP5VWDFWtTRpnwlXALxr8BJxFwINO
sKuEYAvVdFKOlxtgx3V1mdhm873rI+h/Q1oF+bbzo77fTfpU4yiQNRpge11WD4X0hAYaduyfSrgR
6Nf7HVw03I+qZNOKRMfRM6uMdAOnEs+yIXX9X8JagJXmbkM83nvRsrMgeMxwrJP6Kkg14yud7g55
ijqOvmV1pd86cP2WMGv19DHOgIPv6sHKr2COm+YOF/Ds4FF1yYldE9cKR8KUp9RPi5usw/d5nxeu
925qYArArxTl89CO4mPKhhpCp3XkXesV8UPnN80Pw4+7Lz081HrXNFmRh3blc3nly2A/ZYs11WFt
VIHclFHlfcNHLuv26RL1T0tsYeXhOJl4AhA93AFgSobbKommNsQ5wntuvQHBLvwM02/NrI1QIPG+
+KzVo7DCIktNrNJ0J53DgTo1lY5oTN6bZdz/cLFx+CzEQiGkHT3va6EXRRQ6mV6bW7+q0RPIYy3W
NwvEU2frI3w8bTNIeE5Y122R3ZYoArd4gFoVWNJ+wHOzHC24d07POUvBDIkYGKQoq6ZD8cWRk61v
rWrW8DcdMYhA5H7vR7F7SxEDUYa5huUbtpGfzKgm1NljC50rDgXE9WQz4JH6iA853XrHCZJ5a80G
3rJCtND/h6m29pQDB5Y7FsY3FMxm1Bsct30f56U1bGN88x5ll9XjBjn35Gvm1syisDFbhmkrQmgH
2Byn+SD9g1n24sfMmZniSu317zFgBT8rMgGHtIIaPW9B6vXP2F8Mw7ZvixTmzjz5+t6K8vHXMvd1
c+lS1+q39FYVkViUUCqKBBeXrdkUzXRBOlg9u8WIDwxEPUnRiTAn3+ATYmLvA4U/Dms79lEui+1D
ixBHtnOUIByImqKPw9nyuwYaDxH4Htp+EW8WuPnfjTGv850ce/+rnOryk4xmY7ygHAUqBk4mssNu
ZtS3gVnHZKNOE7wXVQPvfUjc9itpa/CgdVFaYx2SND89/o94K2Or+ennsrj1RRNzAjRpamE2Aukx
DFCQjTfZbBcourXIeQD1Y4uw5NKDzzNL6KhW9F28SIq4wWB9yV+ERkzZj0/ji/wIhWv7wlSaJPaL
PEn9IlXiv8iW0B1DwmToJZLf4kXaBLGDbgqBMCN5kiv1k/lFCMWEkLlskb0Qt0MxtGFn9DqQfZmB
mEBHpX6RVEF6sJP4fjT5sLGV6koJ7VZsUVCPfgaLiH7pbVsaGwUjjjeapYRb3BcRF/ki6OK+iLs0
yZx/ClIbp2dWByIGzosUzPQiC+O/SMSkSi3GeBGOWWbsF7bBi6BM/iIuY74IzaRa4F96kHk5CKHu
X9UIfR2MoJ7tTT9i7xP6Us8/oVzhbiiJ9FeaBwM6RM+myb6M6Km8m0FeL6HddcjOhH7QQ/IsuXjw
3k3spjnobpLml302mfGdk3DY7MbEtjWiuCjTNhr0g+Fab+fphyygqW60AZuVTVY0ApObvKgbXOyF
7FRnvvkiGk18QC06HslTF7u8sT0BJNjGIfd703VFzedA9wczWzO40JKm/dzls3OD55DvPKYSD90D
AuKjg52Wb96x2lqIwYHMgutYm+RHFzI5rzDF1qM9t9ZVOqbGFww8SNGifloyDipoiKHn5sFXjo0e
WvUwB7BOc4IHQv7UWRDOscHXtaC03ysvlScakpgZzTz+gX5YCpDQrTuxK8dl8EIzMofvIooTchg+
Ms9MQPvJwZnzCuMCNztEC1TrXcKJ+JNmgidwWIEZHw762I7bonLKH20RuZ9RUSZ/x1De8cKFechC
8NGLjxzGon3UWwyfQ1OW8RDO4OHOGVSueTsqxebOUQLPHGmuuw6FtWYpYKDm843v9fDqfWyLNj1e
Z/qFxKSH8yFOC32Tznl9j1N5P29IFZKP2CWb1SEfDRSwnBpMV7jE7MjQRGnl4e3A6USiQoQCaI5H
BA64TplAJUReopM5xAF83DDLcNah0e0Vu3lp49vJmlhgbw95KmaGdUh1gyYYxEoVyv1W67OiikjI
kfPN0vkWzIPCfb/0S3kG0XwqJyLwQogfiKPCA67qCDLl3aqoYRhB23c71F1yVSayGzelSNFcizju
EDz1GvNd1Qj7lwtn8Jfm9XW8b1OttTjQTHz43n73k09lK+QUBXEKu94qN5J4tfneZM43WM1E7+jH
xRcEEMq3wNzWxKn3SeMZu6JcZBpqJQSvUdQffAsOfGHZ7feXp/mjbu69eK4eZfv8LG+/if+tfvUH
d3ebEjL+3+M/dn/9OX6uVTf06A+7SqZyftc/t/P7564v+NW/4mT1X/53f/h3f/XDLOivfvtZpmBh
ULZNf8j/+vtHh5//57/4lixTpu3fe8M81r1M/tdjX3yjwZqe/OW/G7Km8Q9FgFWVfJoSlCP/f0/W
8P5BZVgV4WgFoc/h/asny++AGMZhARlwoEossn81ZT06ufQW6ddSVsM9gLbmP6fi4a90hVn8tynE
qhTmgsPA4xfgLH0+OsRr9nFC43TREZ05zNGMyAL00isfbyYugugc0HJ1DqihaNCgiErDi7blmtHi
zK2bI0E5H2bs3H5NU+luyr52v/QoTKGWKoZ3v32Rv1/19/bv6hBQ4yF1oppsNH8hcKyK8LHV0j/V
esiTdjru9KACZG1Tv/rzUVSPi1qiqm6vE2eoktiO6NpyGMxS+yGifP5i2lF/7phnMfyefKqX4QBV
kFtOUuUOdHyiOVOVmmPt6IdoLNHbkUFz6FFcQ/mmyklVkgxJmzGNl+e33+7V8lAvBjcEUAs2wiiv
Hg8bCzwBonm0D6Vyv6q95IdcAljw+KefObZefS0gxTa1elrBuJnbLwDa345sbaxRFjAG/YCO2PKA
S3h+lQfdOb74ifdRtAJA8DToVW3x+H1yYO4JbV/zADDS3ouusQ/B4uOMjunb4e2pO/FCYLrU1YwH
KZjD1R1keAN8sXayDlSGSUcHP98YhCpnlt/rF4IRS9OTLg66F/ZaiqJwh8GdetdFurXstkPvf0sK
/EMze9j96etA4KOOTdEc5C/18eOZC6xhsWov8w5dYvySTpxe2vlk798e5AUe+VuNBSQKo/Ae9KG5
Ujk3j0dBc00Uuei8Q2bSIBtnvd6UKMZcTQ5UhYr2rnJzwMoqcuTj1Ch5yaRtLj2tTnet3bp7c9LL
mzZqlwe0gJ07HSnB6ySiKoKbZr9LMgq1Q2Od63a//tQsXUWsUPIc3LmruRmlZuRtO1iHqe0a+NL9
e70X0Zm5eT0IdFKwM3SEHYV6VyfEbxsk8osSrTcZHSrhNpt2mqJQa/T+4u0vcGIUhU6y6D2Ti7/a
8PS9k9Kx5uhgz7hHDk5dbWL48Wc2OwkQT3v8oWF0cytyGygE69opWzcRh8KMIToUcvKCrZYB/7ns
KGR8z8QkP8VA/n9Wdq1r+5HE1d51dHJciq3IDGJE21JN7+LGwHQaBl1o079MST4jTCE7DGODTe6g
3bXJO+nLXVpKEYT+0ETNtu7yWu6Txk8TAOVl+QyAzf1Ea7bUN7qobefgjhH9kb7Iqp1Vu8WTNwcI
VZYpd004pYXv7kor6T+UiFmSgNh58ZwvepOg1KjPzzW1WjuMNRO2vi0XqP6OV1BQgPiL/2PtlGN9
MMwaWQppDU15aY0yvl6oZs0XrZlOn3E8Lb8ir7mIbdBZyWU69ah1okvWftVl62ShFCUaAFQ5Zppp
BPlIMNqi+5k5Q3s7VXGSbOwZbHXoA9WT77hOElQ77RKhY1dmGubncz9f9DgALZculZsrGUdQcwo9
1+8tKHZ6aPRNhxJo4MmYlrWGohnmvOMncvrSCQ13mKd3kYyddufYbvS8FDW65ljSuqHXRmOzKXW9
usOL1XA2Wo1H486cRbD1tcSbN/aCy85jZ/nIDKaURVG3BHv7tFQeUoVjbk+XwGwwe3W6EgfGMTFa
lCutJbnUrXwCfsSLirBzk+QjffLulxv3QnDzBdk7Gm+4S9d1ZsQbs5Xxx0zrZR7qkTN8C1g5wTa1
s5JaYVdSnwOUcKuNVfoVSR2lD+V1w6Z1ouijhgzvvEnrThMHaUbD3jBSo8YgZuIvq/SuHzYNLZ0O
P8d2uS9N1Cbvu3RkYZiV7T1XduLQRa0ihIBmJxmHPc0IL71wTaD0yFFa2oPoOvNdag3uB1tv6m96
bQ33nSyjG1QjtG+imyMH6qU33aPcu1Q7ipPRDz+NpbX3A5FFG9HriHLEDfY0GzoQ6NForq9lV4aG
riy9e+F/G7uuji6HaemwEyXJV9zhZsH1OZrI7L3WMt8nzWxiH9fk8vs4Dzl2rDl5+q724KMjmEmN
LHSC3LD2WdkykDkkxQczM3NUMoxYjJezlk/L3tZIPvYskemTFROFIaFBfWgX65b2Qc5Dg6BlKcR9
PytEOPWQ4POAma/NAs01TIEx536Ab558T7qhBPjc25m918bIcJ9GU2IN0Q18MgTOWu99P9jTcFXk
Pl6aJoV3bQuW3/0s2IkfBc8IpA+NY4BMfYb0Epw+fEBkXrTupijF3IRJRoNxo5uV+JjHnSHDxoFl
SmvZ1X5GWBpT7V4i50cwW/2HMUZLMJxlPug8JGgx/uO0/eEGVSN3M9VAzMoLxMQQK+z0aNf5iSzD
zDTYHqNo9AsAZGgJ1lJGu8UcXYodKCngfEz3gvpcPQS//MbCi6n1DBqttt4ln5FC19E5aV1rM5de
8E462JRukyLz74tBb4p9B0rvUwcdGrGAJu3nbV/SKA6jzKZMRAQ3pZtSK+1pA2jQT8JhCpxx39JP
ysJBS9p8n9W9b7PH0kWjkMv+/Jg7tAwv6a/l6UWDuUi9mWjF3/WisR/jqi0fBYyln56lecXGGJep
Z7TMf+5tPXrKRT788P08QSVEsyPYueiChMxJdisczUdaoQ1qfY8oWjogFjnXhwEYc31RoPyXb8BQ
IbnXT3NlUDbO0vYhgORTb+oYPdZNRLNgRNrKoUjd0vMoD3iaa+2DbvQB8nOEbpivIx5JfVjp8N84
bpG91waYw7ez48pqk+C5OW/KJtXvPENzcljDFQi7TAn2bKIYUSK05Up09JFF7OFWRSK99SN6gmHZ
jx315bqOv4l+9rfRkrAGKG0QWkdLgBKztWhBSCXQv2wbTU/C0W2cd53TuPP2D29hn0hOpWRgpGj2
r+UMWmtRwiC2e1i0zLuNF6+8kos9nunpvrrrGQVkOAtEeURAdDiOKBz0BSSqk97Bkj5sDi2oqied
r3b5xy9DogpxhFte4f5X0VHaslLSyvYPc5HGO5CIZYg97TmW8omXQeHdoT2tWoJg449fJqNR4i5J
Tg8+1dBkLZtg15NZnwm3T42CbDsYQ7qASvfueJS6MhLF0fUPo5iTn065+Pd6HudnCkunRyGmBLNJ
RX6dCzV43BvSyX1quLO89bimtnFlRmc+v5r3oxCMeBJ2GIBw6mSKXXP8LriRS5SjO/+g1+MQGnpj
3Iq0QOVnys9Z3r0wkVZjqVKc4qlTJwNeczyWW2VCA+sdEP3cLHF3k8Abko2HDfqchxQAPhXej8hE
QK+K6UrVW+ZlM9go+UTZEnbzI5i9rTZ/mv0POvLnZXIrtWZfuuWHRPscNdmlF4zltrGmp1b7+fbq
fRWoEgWbaIq/wD2Uisnxk1sAANwKGu0hGPFnGTXgWIOXXvpW/9EvhvlM+P3qm6jOsiIXo8yGXeJ6
rxRi6FBOa6ND1DTfDL0YUZ/3/BCV6XNmc6/WGCORRChAnpKkWlvLujGVCrPxI7Uru60KhVH1PMdu
OjEIeZxKHDmsFI/gePI8t06xgoHyTRF62ixEJaFohj91svrL1pilBVoIrZl1ZtRnnt94xRxfxdVU
fM/6uSZfLMzd2wvh1LugHkQ1mQ2pBOCO3wX+vNvXnRdf6UjwEw/S5z8knXsOaHNiBagUmBWnUD2v
mexz29M1KZMrrUrsd85iWQfH86Yrf0jN7dtvdGooqIOqDkIyhq7x6o1kga8TAcwVTpv4mgVS7Dva
MXcIGogz6/rlxjo6AMAOsdBIkCEtoc+5Op5BraRRYojiasxqm0Yp0Tzq2lVadRtSOvnQwSG+mdH1
0BEncGs6+rK0/VsvHspHJLzlN5KOAtsOqyqGvZ/meJY63dTQxTOyvA2nQloamLlZeF8izy27zTjU
bQUQox+9HVKrya8IfyIZ8iMSDxcukxmSt2vWxRAHwdYa8yE5I1upFvfqlXlftjNJLmSw9ZlnmAtR
IJ5IV1NqFBd5Tilocp0m2/i68N4Fnb/cjt0osHQY+/IhEZ1z5gFer1jF9QEVgo6Q0pxarViXHnHb
YlRw1fpdfVXVZf7gBGf9sF8fkOq7cq9zNrIH1/z5PLeDzKvt4qov9PiunjSrJjUd9C2SpZYbzm3U
/PFOVEcWNAaWrAGSdcXrASVRZ4mXlFd49WqIEcX4HKcEw39+eqGNg4YFuh1KMWPN50EVwJQ48lVX
TpfYV15OoHTeLkVFDMerJFB7D0hdoFDSa3ZrG9CMqe2+vtLJ1ZHAMXLtUynjGOHnfvqU92b/rkb9
+SNInP4cQWoNCCXzRVwBPozqzeHis5YlzD3wCanMxJVPw/lupOcxhjod4GDjeUvqIbc8yu8ibQm3
686Jp709zoIqBPVtC27M2Oz7pI8fzcU3LpP/x96ZLMeNRFn2V8p6DxnmYdEbABGMIClKlDiI2rhR
AwHHPDuAr68DZmanGMoUS2a9qDKrXORGJiECAbg/f+/ec9N5mcKKaONyG+KOHxaLu/e79RcfGBJg
sIEUNtLXySPtaaLHq9QFR1hInPdW5HjK58D564XxH14cNsfNnM5ghpnq9uc/tNqA77elcB1xbJPc
eNuJaghpiZWvyHFPr8LLsqFEqC/wUuLNO1l+Z19NS0kqzzmJuBpEbjVHpr4kr9SS2x358fnaXkno
Tht7hp0erMHL70L8bkIffa3PiwU16moVVRVVQ0/2qjNP8VJ0pJFk0n34vTsIhhnoALNHjjGMXvyT
eo/xnajIQKrOez3LYmeY5rhxq/qVO3g6+4b2zBKAeZGSaZvAni6xObF+ukmH4Zz1PPNDEPHLYzUG
6JewzKrsTBfNhFrF17RrvW1LcuHGTLvUlkWnUZjZxFQYmr0v62r6YKtOvJZBfPpubx/Ph1uxTWG3
k9bJpjf4rOyuaPvzhU043/H+q4tJobqLpdPpWzpL6eaRbFv3Y1oRWfDKy3K6v3N5Ys8QCZPzzV06
Re8lnFNgXa3jOdkWWpSmJfJ6i+Iot9bXgr5PN4HnS1EVbT1dHrjTutXExQEp3R3PC8eo6O4Ma3sA
Iwm2pAmaMeyRRO9//YT9w73FvoKfHKjDFix6cm9LrfNXSCnTearbtR9RHq0zHZ0U4riWtN/yzEFw
JxK7R9tvbo2tX1/+H+4tmysLNtMKpoynTOolzVwz7T3Y275mB4Qi0AvSh8GCMeZmyx8b+f+/IfqL
kfq/mqdfTN7/u4zaWZu2xsO/j9r/skGfP06PLwftf/7VPwfthvGGBRuPvwMxZiMK/79Bu+6/YV9l
Zs7sGUnE5jmr6m5I/+//0Zw3zDkYErPx0p/Am80i/Zf72X+zDdVAXkAiMzlWIHk/Gaz/zqAdxMCG
bmf0zb9GFOHJ86qqOjAGTa6HVKDSz/u6vJjWTF56KU3NH+7P+z8W9x8H36fPJowPLBMwVhg/wvc+
lepzQs6w0zn6YcwXb6cYD94EqpDn9VIM33/7UpyMqcQ2Zylesu2j/LBTBm09eePKpYZgXUhY84Hd
FbQUYSP+LpuHb8WFNvwApi4MaydbCirhaUzbwTgYtmAUYzD8k01ZhZMjg1fWlufp04+b5nYtXmwe
C3pKQGNOfizDmD0aLoV5sNtUuzBHrbtNWn34uGgl6Jwym+KgrsR+1cgKI6xLXATduDwwIvAIsUmS
7G4B2hzPXlddpAk3ZEfo9vgEI0y/gC76m3ZRaFJ8Wg6LRIdZ8AZPUeulkQzSAtx9SBJX7Nnt6OUx
/zn8+qc+LVe2q7CX4FjenOf2KUmoQPTubDjfg14sE5OkeoxBI3WviDaw0JwULFBmOEvQmmQwyCVP
R/SV6MeevGZ5dOwMX9TQjkTrmcHU+Yd5GUm4GocGIbugWK0wzXljxwjHFBC0+vXOdpNbkjdckBi4
Y0Lf1lC30vyoPvhm3tzD/LUYY4nMOa5e1z8y+2m/JCTUJWHQOsrcrbO/IDT0mN+GDm3hd6SZdN9b
I6hKVIXBuoatN3OA1M0a9qnTKHsMhwCtbSSm0rRgmSCBjVpnSj8WOGNI1eJf8mNNp/8RV667FlGe
a8P7sa199ODk4k2xY3R2FSaT0uU70l76Lib22yRLbWgRdJNGxTBEU8lMZp1l1we/TRbjEa6JKdHc
186Dkq352UmDHfrD+Yu34mfRiEt47Bd7nmMJHe5jo9IyDSlmC+cMWWjVhIHRobprt6oorPpK4+jh
uz1PjnSFdxPUNFGivGv95SJF1vN5VWLVo6DubfTiSHXKOBuL+rOY/d4he25YSDTKAvEBu3zj7Ihk
1xeyPj1nB/yu04iZajrvXY3P7ZM9iPmW6VuDwNXzO29nK5E8JeuoiL0yik5FJvGo93LOEYqnhhIX
wluML9jlSQnFooOZwSP/5iOLn3WF+oZWTDFKddSqdlkPqhxUfnCmpSKjQrkQylSugBy7jpZc9d06
6xGZdumnIcvJoHWInq0Paqwz931j6PMc+UvuINx0/Yp/t/aFk13xU+RebJJSdeAI6DUMM1hId14x
rN5Or6xxPgqdwV5YmLV24wwj8W0BPW83wgvKQKHPhLha0csqpNJQd/c425YgTCD9WGHfe3C9szlY
DDik9ZDtErBq0Ek7zQr5cTwRz6Xorms/0L7as//JnSth7gd7kNS4tsiMyIazmIZVsgxPATW+i2LY
h8eUaxJHDD9+/g0TBWMxtWAACAdvtb3Q8nPqfsrq8StQhNIMs0IXelTrZvPN1kQqLiE76QgYS25N
bJnDwBBtpZwNh2IuYdGp9j5D/k+iDrmDIid6p2T4Q8rD5azqqYqc3GueWKqsOSrxd8+fVOf07rnP
gfJTPyntW70WpRPxEjsFuXHlygvYFwGWkbwxuvJqmXPnoSRGuzkYY2ldtvnau2fj6DmXLqNoMxyG
1LzXiG5zcVUADA8zixNhNJLF9SHoyBMMc2PIGNMXxNF2c54WV2nW89WZq6Lf71Qqnup0TYGOuVif
wgrceX1c4MO1+zrZgmoko5klXJiVDpE7lO2NPdfqI8GbCNGbtNeT2GYNvKZ5vmbRvOSsEJgLrDGe
3BJ+PqcJycw7SZxgZ67CuKjtjDFwUk5dFlbeoBGa4rTXXceoPX5eqX+rXPzXIvBFqfg/T5m51Xw0
2v69XLz/3g//8c+1In/vz1qRihCyycadp8X+h/TyT1CO7r6BIg4kg84df7ChF/6uFdFLUH/oKDKR
qT3jdv+qFb03CJY4YKPY3GzOcD1+p1bcSpkX5QeVzjM8eJN2+2C5XlZVeWPjxatR5o6CgFFbw5Yh
A3XXWbI/s6022/1wg/4r9SIONVCeW9IAcjX2+JeXc2nwIJA3uZyGT4vkm/5gM7oOC+e/0HE67UfQ
ttsuRycCTRzAzZMOzoQidqyBXhw8YS3mLq8UOPxuSac7ambr2xzM+hqWScp3dpqJCLgERco1pVQx
R5De0uIsYF7NWvq8KGnPC5RvDIaHkWxbuGqsEd/y5+XMeV7aKPTGrySJtgYbzrb4zc8LIRG7soz9
bX0snpfKXEz0rxqvwnVTbquprY15GtJAI3B1brfgaukOmrlPEu1Ts63Hy7YyG8+LdJ2nybOOAt8P
yoYM9+iazWdaUKbwRIUTPLp0Ykn0JHoOx0LCl4L50JXXJhqlr7iqXEb7jnBuOO9O+DU8R1OhBkXM
iTNK3fIsbeoVmdS0ivkwthRj+9lBgHIgX1cwuTGG+y4LnBIkH8rdaO50yIqVXybfg4zEkLAvq/Sz
lA16+wrS9nBOyHHlc3ZGphiRRyZuyZqECqN6tp+IfJnxqiQg+q4P3DnDyFBjMZrk6Og7x8yG79Zs
0eVT9WDZsePkSbAT7aSGfU9xN9zgx67dY2D0Ne1f1eTyg1Fq83dVtq4V+70Cv61hhaIIsYV1ie0I
MoDEJ2WFBq7mOkxWMj1CzIveR4npC8FXLjJ5mGXWLCE1A3K0FXvvo+Mp4xtCCNy4Wo1OodcIhlVl
kn21crFiAxkTAqlGshGJQDO69patTRlUWloRREbXmNOhxJN4LMkv9GOj872vSddhwK/G3Lkj0NN6
SEfsM/ueiWh2hn/T+1J2pnpqgqR762vNVi7BErBCtF8oJOzccdudTs6bdVgWa7rp1gp1VbUaimqk
IHJ8x8yVrLDU6lLKQV+Vcrdm2G7jTPPZ6sF3KSxLKP1GxGLSews3yJ4ZfM7DtVmQsrur/M7/3FiZ
xH24mhbqpd725xiVlS3jvMpxW46WwxvVa854QxXma7u8c3mwA4QkLQouaRYhIjjHeawyqyTOJahb
50nXC6nf5r5BOrAZaOp7hXjtg+tk7Xf6xjI9ZvpGBKzEKElWUPryvvXWrr5APgGpodCU92W1SAtF
n6UPSInWSrb3dddmw/vcdsnJ+98dblg27wGBqxApNnDIv29xu0e2uItHsL6P1fBY/dgU+fuv/9UV
8d9gO2BLolcKNPWHrohhsQfSQqMKC9gIt1X/z53OfOMg1IcKhPyEnG/8CX83Rcw3Ngs3Gx3zF7Yo
rA2/s9G9PFNubfwNO8eAGBQRn/E0fqApMDIKbUiP+iKXt4XnlFEx9OMrZ8qX/RCugoKd8T2oVNIc
tq70y/1NE7Nd+EPBVWrnWSBoX9X1Uh2yoF2+/PBDvLqV/nEpfgOEJfyIDv2Kl5eSinhhH6z6cZ6T
mpNS2u0bIspw7Mvfyzv841K0XZDl29Qq7N8vL6VXk1kVa58c27JwDkLTgyuTmKjLbnD1+19/q59+
Jm4gIyqarJzNOZyfFAhWo6c1Is3kmGReGi9ae1fli3yl6QJ7hU/8d9nz/I3I5MIjg4KHR/VU/G04
Qw/sskuPnKa0q7bkHnIsKHT1NFYKngeGUE6x41BaXVi3Jme5SU2zQjlmYW3Vsbxd+Wars0eAExij
FZaRvARqlKDftd3yvHYC6hs/X600ahagslQfeZNczXhgiQy1tOWdgwO9C9tBuFVct571CQl6cdmj
jCJ7tsOSHssZdhEHBTZGRNiracdozEEBkDSb+2ElBPpiPZhxoJsFYsuzbHsikSwTRxGvDllLIH86
NHMGkfVOmOplQa5rk5KuJe3Beo+e2aA0qCvJEdMMEqKfmdna58Q/BUcHilCKJpbzMBbZpAxRByyP
eS+MD7XywKQUSWOscU/dU8TGoqc+ivTSMiE6F1hFOBWvzgHHZ03Qb0dFcehwJmtoWebRixbfJwYj
X8k+xlMt+LFNDR+3rDzRRWZvZiPSQVP/lo6VncVWKn0/hG6l3SSVIho5LXzviREIv9CcKesJlCu6
TwUf/kHPynbc4xPGCoxGtY0mbtMX6lD3a1EEwb2FBZfv6WvOhqXD+RRlaBa+JZph9BESaMzgvTCN
R4r5qozx1Cdr7HOj7/TVGZuY9o7G8bQjGzgku95TuLMzzNRuvpABWC/ujcakrXg/FMLRdv3UW9/S
pHcfugCyDdihoHyisEnNUNJJY/8eNBulYT6rPrTGQd5KLU2DGKly+yHz1vm9bwqDk10TLOD00CqH
CUnCl8MyILpEZEiiiJQ0Rjd3attEXlllSVQ4CXejNKciuMxZ576CSLGmHanQtrsrVmTtZ3au23gk
mwCXtDd1XeiKZrljNiwHEoJlRr1F2XyBQLLy0SFr01v+uT7ZI6FqujADwnyOsbi/qTCxqlCpFCu+
3pVBGxuGUmD+kilgr6Yzi0d+bgQaDyNXnrh0Cof5LvVwssQo3rB0m2bTfVPzPNwEc5pfDWuOCovl
JvmGJZmwvlTY1mfuD2yCWayFG7fu0PnRSobefderCoGqHHGg+JOq+B2qLdFdA59h7kizHg9TUOOO
xe5jaiGe+uC9rfxSO2NRbfUdja1Ww363NakWw6c7MuVZV0cEgXs7lxzzXVC6wXcj7Ts9VBl9fXLx
el3HvFgzAZKc3bp3ZTuBcKy0qS2us7ya3rZ8dxnlwi5vM0ny+Zle58p5x1swHLsSUE8k3aWJdZuk
z6hCkU/kTiKn7Gyh2LlxtaVO4qrL+gShrUM/bpIzhAjp6vUajhSCztloFoP/Npv06T6frK441pmm
fy5pM6YHdHg8m3qiYamQulFdB7Ui+MbNB+K25rQSJROzbQ7QMjM/Fyz2ZdgErtKYuvflgzXlax55
Kgtwmg5dYoUjnmQ9dHpVP0GTMN96VOVXTW0ab60mnUCLSaHzTIyyuGoKa/li0kSaosklZISGKlnL
QJQMh1aqUdd1jJWEArVe5JDsR3PNlihAfHBXF77CYd90vRkGlT3kuxnTAuxtOTcEpadG8iX1Vylx
ZPctRvp5Rnu8TKYxxatbypWoGLu/mLFIzTHPinpaaH/Syuw7UA+5c8QyQ7GPwJiUNOKHjHcaHpf7
rJ1Tsicn86EjDXyJZ5tFPl71zhp2G9mzCBuzUk8p2djQ4+y0+0bg96JFLW7Xnh1XqnZXji6NN1cG
CKCdpWxZy3srWPYCbTsnur5vvmzRqLyiVeZ8q40NoFCr1nlrpDNT2Dbo6u9Z1utL3OjSMuLELTU3
XtdAM87XHBzHzppRgsQaZbxNp4dDQdSVrvW9rAeaQXDdYNlmJK20Z0QF5x8KXb/Ggkv7pzJpH0Ve
pegGLnaegYdzJIjYrsrarwM8SbErLY6D4Up3kfBZsxkdtC3J/Cj6wr8vtab4RG/TSOLMmVcfJuuE
7r0cFvEuZ+GGlIEc58Exe5u1sF2CdEe/C2YCOuL6U6abM8+GkPLeECIhuFQt9a4zaqnvAp4oC8+G
UV3wvhTX9jxAJqOJ6O80B4bnzgIWwvHYzzM3VCQ2JWfArs07c2yGL6Vrt7BE6yf6xX4XCeUsGYHu
w3hvN37pxIunmbcFKdgfSesq0n06rcWlWDlLxEWe2E04No68EmbtlruJPQ/eQFbTACiMzBhDx1Ip
uy9Hk3uczdqId7rLHnLdxTZiAW75CB8J/bhgJpZHSGloe+JtLmnYm8ka6bZVfA3mwD1DF36l8RIV
IbYweqij2Yu4VHbxZDLMXUN/cYYHpybWjXfBfAw6PIhR6ZiDCJsqV+dptuZGaKUC7EM7scYSRVGt
UVVEo6jqBLaEab1VOa7nsEXqhpfGHrNjynCmj/HMLJ+Ul+s6K141WTwdiXFTNfqAyw3CBwk8i82R
v50IP8d4M4PK6Toa37GqMjcN8yyd09gAN8SJzSXMPmwsjWNeRvAN/QSWaYCBmtTXvWIo/cHt+rmI
wKVUfcza4FV7qRaHcsNK5Bg1lvTvaS2Y0N+EyNr3pR7kOVVL0E1ww5PgUqRaT46MntVOpDvZaEfe
oi/Lri8bMYRdhkUvdjnyctcDyUNc4xr5NJmW8X1gAnPTT3NOeAmfdj502hjcmWJYrR33czzHjsAT
O6xaMUIt0/uDk9KYikdje4kC4bXvCzUYvDhwzChi2KTnEI9Hecvul0LrdJl/RDU1FC1kxkHoBGv5
TU3rctXqk0fqfTfVFx0h95RhufLNsMW4QulCafQ+WRWsDE3vsizs2tk84AFYvgjDGW9XVo95NxmI
VPaMQFJgc2WaPva6sXhhYKbl16F03DKqPb1oLgoIrW8D1dNY0ObOvm+Nur325OK9Wzn+XnseWvq4
gD89A40pXLjCyNW+SL2ioearwsMm1Cf1B2udVm6Iz141Sle+C7wFXTTPynwcK1mbe/CI3Zdy8r33
FW2/dxMezMdVldxLh9c6idyxF+qd6lawQbNjL5/LAYhhVNN/g98xoJEIrQFXW+TJFP6EsQI+OrPM
uvhQiczLdryB9re5bDmy58vYPQgmxunek0OzRH7XOLzwZbFA8Cm1FeAPPwaYpKChDUNnHoePmU3J
47zoNHCCti+KyErc5A57nldHqVNAZbPShBIgTRub2CvIIJhdlPZetUP7VSrbyEIIRgBbpqA1p9ib
i64MRYUDNVpRXjOgkq7tR8HSiym02o4lWw+wXpxjCoFNs0JcelrQQLLMZ6p6oMM23a1oRDU4V9aY
RFUJX4eyjmGJ3npeu8PSxnrhje166PXVZdm3lZ1D8CsWK5r0InhnNxUb6Lpy+t3TUnOzKLWmRd78
+kT1ssP751GHQw6vBNIE3JYvD29FBRND9pN3IG35qjSMcymUH7Z9djNpYvktPQAXA0jKyY3jL8fs
wDwVYwmsi5VVDDWmWpyU7iDSApZKJuKWv6ZeEcb8dFbkYjBJ8DtD9N6y1V5+M9sYkn4BOnbMHHgT
VYrfZrWq19jFz8TqF2dFRNhbSJxP+x6AymmKOXYGVQelao4+6/MUFtXYs2Iy4633MGj8DzJzqzYa
/VU00YDeaSb7Ji3irjFmI6yUTK/aAd5oZBHM9XtZa8/32wLMiAoDiDOnu5PjsrPq6O19n/u9VAEf
QgT6QddG58HPuvltXxgcUX/9OJ0I4bZLbnQVtFdkM/Df8+36QYfR6J4YMKgVRzm43afeMwSRrsJn
BNlX9+nYWJd0wWlR9kPtxrZRuh+LxW4vRua3FzqnyIueuHvNFfI1ienPj8PWn8DIyfO3gSpPuhTB
MPhOx0p+7PoeOhnvIl5AXulff/+Xr5OPXxlkIYp5ulhM5ZABvXzosEU2rbsa/mGqDFwzVrseC3v8
PhaFt7fH6jfhyVxuA+dumhcuxqjo5BkfHGJH56oUBxbxes9hZol1q+vO0iDNX/lmL+/f9s08mm2I
QjB88Z6efjNOv14nl8Y/6P7oREXWTceR8eYrV/n5/tGCQ9ixCemgS5z24ah3s0CbXRQWqfswpMZl
XzKQEM14rdz1z2Tb3xpP/nLw+GJE+a+DzP+GarY/uq8GaqF/b94+zyevxv7xP26+V0ny2D3+3L/d
/oW/+rfBmw3uREoWU0d+I57sPyeVhsPM0TCZij1PC7f+31+TSv8N6wAwT3CerIw8ovzZX5PK4A1C
IfqFOPEABG35C7/TwN32qb+XYR5PEjpBaTj0inlGmSK+fPEEsVD4RCfnOAfShCYkVGTkq70f6fsi
j0mW3VoFY/zDDXu1yfrnRVEYQ5FHtIcR8uVFVV8CclgX57iRCs66JX9yO2vepbLuXllXt9Xpp69H
B3zTgoOmOH0vevL5yNiynKPpaXKvj+p+tAPaNgnO619/p5/eQFRtSPGJwUCluLmYXn4nuVSTMSJk
PaLj0nZT2WmPdhmI3dh2XBh059mvr/cPP5yJJxPmCosY+/XJEpYXY++U1eofG9uZowWNBToay0p2
kv3sUjj6VVYH2u2vL/rzl0R2vf1sCIQxbpx+ydFLUA21eOnqVJ8jq2jkuWo471iNDbdVTH+uNP8K
N/pp8fS5Hj7NLUB7m2WcyPhqNWvTkmVcz/LnY4MGM65yabzy051svtvzCBoHeSl8QmDnP1kEl9Yf
SABfxZEaZDoKV3tqy/ZRl6sBra6azdD1k6htljjJRUe8Y5OfW0PXXhYl1bizrvqZWQfqFfPPP9xr
Pg4vOC17JBOnP3DQ67W7UefOrS2CYEmm9ICIDqefa4C0k1l3/PVv+yzxfvmuUMni8MRRCJYK5vvL
J1jvpekJrU/OARV09X4yNLOOkzGnLjP8RbiXolic98ugy0evoQLhCBQ4yOHW1EsOK++EhhthLr4J
iMyUcsLX2gjfTeHvfv1Bf37yHfzoQFpYOgxWrpPPKXEAgOAo0nNasHo82cqE9qchI3LHMsIQYxzF
EryyYv30Y2yTLtA5UL2YazAXenlvnBYsK+I895is8utYqktoMV9odT+lqXit4kKh8nLNer7W5oVG
ikJZeHKttlqcZgRYBWZLWdewkdt9KkR/JkndDrPGWna4gnK0FNKL3fXVUuKnd267PEcunS9MhX5a
iQaGtjgmtcQRKV4DO2Mj/y649X79Iz7n4r142ih52eMw56DEQU998mqrTnoMSczgCPS9OLd4fopo
EiyyIc2x7uCUvouCkxSOJmq7BjILCrpkn3az+6VxrPqLDw8cOag5voWNWz6aU077oU+MxonmqaKb
0vbwZsjupY9k+uVwvhYVDeIh8d95hVnlcSA94w6kZJLSZygmOgxurl3lgaW1uyAovC9EqLvfZGXo
t9C762pf1FvIJnyYG9oCHvF+HY0mr+pSGKVD5h0YsNGzUXbdWQd0qvohaYaVNkurJdZZ5Sr/zBTl
mh414nrkpRJ9gk5mUOX7dqJnHk3dnLwzlXBup0WpMhJWBj5XMCKJEa82LrLKXNE/KZA2x8XkJJc5
tu/gvKUFRE93UDTP5jXozwVw1NCRs/6EcMRzkAbW6RjZC1nHcWk02ndwkYwkzCCdZOiX2fChZDLW
HEd3VfJq4JwdZ2mfvG1a07gO3Pyh7tyzRXj9GJrLWj0is0i+KOVkx2XxLZr8ete6MXOrSUZjb+p3
xWqKB/TT8EZUb1tkKRcz/X9RzvjDm0Lcp6Yz3Vb9PO2DMZjlK3v+z+8qGzEtdoMSiZTQ07jzLE3t
LC1I77T9dH439NW0mwZTu3TTjD3Sax3jNxMYWaR5hCnuOJ/bWz33cnFIZsMcWxK0j4ZLjH2aJiyN
gZ7tC1urX3ltfqpnni8FEmnz/BH7sr28PxwTLSQ+xrIEvDVzw+wGJSYkYl9GNoOuV5a8n5bZ7VIw
sTa+xMY4PFlmWw4pFLa8oBoUmP3cuu6+TUtnZ0sxXFc0bw+jXtz9elV4dn6+XBXgYwHKw2KM9ewn
SNnMfRwQXqbnq57P+7RW9lnicvxDsMtiJxmC6TbG8Gkdq91g0HwE+ZTGTra072k1lNFqj+bFJPrh
zHZ6Iy6rSe6dpoJu1Lcjgh2G3rrD5EaOa/3K/foHhzSfHdUFlvwNWridAX78bTRE7HKdKnluzlm7
a6eMSbEqe0Zmw3luOC2ekTJ4DxFlZKrqiHN39j4O5lycl/k87ZJS+YcadMJjJufsvEzaZtcF5O20
68pTO7rTzoYSu3OJ4fsogl7sTOktZB5Aru06szwsfVPcQ1bWIrlVDb/+YX7eFDYyInQ3uhMEev/0
iJu6uy72Is9ZYafdqrXLrq6D34cncBXwgchakGHiAXp5B6mwqnX1LHnOCHDZLxb5ID6ayTh3eueV
aue5VD150nhZNze7D/mVd+nltRZbjWatQC8JO2HM7U7lroO0euHqTMh4c+VOp/QLg2ae9+6g+xES
MjfUVpHtKYxRoacM+OvZHnZUy/PO0QZ7x8Yz4pWUKZ333tkpTjc8tODDGFdrsfDFQl6O7u5Fz+SD
s+G4a/M6O8OnUp7Z6dblNYaeJoRpfE+N9rNJZu5O87tN7Vy/WvRuLZUfbwAGoy3RnNYlpz6OSCct
F+E3Oqc9VBVdpfnfeYKKLpK84DIkLNAdeSB1UMmd3ggZGvWa+1GKQxChtev2H+sOf/Er6/ZPPwmf
aDNScxqmPeN4p05q3U28HKxwfZ6aY7LPZOXuBl2hqwimpyIZzzEP04ku0Gnqw/QBLYcZD1CFwqAe
WkpUazkiG0C52dv5btFW4zDbDTk9Kzgh04MRrYFGj1Saa5d5oGs7JirJPmBAeIYkvz9bvVahxlvV
Thv6Pg7yTd/YM01OmC+HmqvpMU7QZA9gfsXO0bxWf58u7YRNbSIq2uFsFTZgn5cPZN+2GEUCYgrU
MNzOg5wuSKKy9zXs91ee/T96uC9/e58dkkYRiBKOP+7Jb29Iu8d5O6TnWS8bhlMoNbYwXyGigMy9
5axGHY/dxGKwEOE9IL5umh3tQ1UPo8VsjDZtSGMrmODi5UId7E4t7l5PzHzYofmAGF7p3RzpAOhX
QtGHYoobc2GkSvTmkkUjkWkfA7fFilWgUGyisUzch5WTHRP+phm9uA30K6MAfRHXXZpzXh/r5TN5
QeLaZdx1k6K8hPPV0LFw+1xVcTs69U2AaV2FfpXXDzbnhw095m7ALZp9VTRYWXtfZebIX64GncNq
IUi38eR7Xy4GRhzcKLydIG6dOJ0W+21XNkx5GnQbFpqEyfZh6+psf+k4Ow+zrNrPpTPgUJWZCqq9
neRtaC99XuxS38o5N5mD/97LeuhjbdtdzmDTGQ+4XbEJYqoW+ZMbvGXICcY/sBb3u5un7uXSWu2M
Vcor7hOzr4K9bo/rrZXbpGQrBNBHmVXJ9arZ9aXQA4j1qtS9z7VbWdbOo9LNQyj1kxtjiWxZbwJV
n9fQ8INQacLcuWWXumEw1/5t6an5C9Db6YMNmu9Jq/38c+tqFxBA5rBNVvtCH/FocBRhUq76jNFp
Xd+yaEs3wiiCgKHRIc7Ey6AV70CkOt+U0ZHisdiJ8UR7uP/Oask+x/NeqYisDO3zFiL3jsqexAm1
ZMSbD4Vuy9DO3MImpIZ5EB6MLrj3YYw8otdRO6RBNeIsR+U98g93ulitXoM5qDsbqLu/C6q6fsrm
tAMwlPjq2mkhZEQtyMgynhI0W3TDuf/lLHGErWOKtTeVkv+VTosYpLQrC3dXETwYrVUe6rGBVpgZ
2y/WCXuJ00XvLw2Z6fl+qWtCF1LT1so9lhYk/dlMuw7JkgF2jBbXwPwvAysWibqbP456CaUYKCQG
qD4rrZknI8VTM4oeUXNjlVqEUNI4WBjJs4gRL8r4NAWAsTm4kmsskgZPAVr3c+6W38N/VN2dBYxN
YxyQVONOOg0M/H5hle6mXvuUS6BcZ7UQLblVop9uF82tPiWzNcA9QETdkbgT2E0M9cG59qGXh1Or
SfTVpcbDocliQW8kA/deeGhDUAMv9dsupYLOzBrlcZb4JiP+csmG0GyNkYIjSdBxjB1kPKhjjfXZ
ZJuALkhYtoxrAOZl1Js5so2CGeaHzirTazqj84OsEFCFJQ/A91EgfQst5bs3gylbxSnP9Oewt5IZ
tfnq3aEeFI9GbjeXLBLchaqoCeOrZ+FUxIks3T1CtOzjljt0kazmNcc9B1bf6hpIsFIsXPNs51+x
Axk7u6rkE4+bcHbzSBhOOA8bFzPD0QuHUOu4BUOREB+XIGaLV7PPvieZWz55PcvVbnGM8YMT9NXt
3Os2gIxA76+IKhCPqzYE17QL5qOvpGbsp6kvvxqeq/HIm4aEuEcWG7FaPLGk12jIx3HqLdoU6762
rjstBQkW+8mQfqkzb4S3Z663ulm0d4EatferNZkryovBv+DUVnxiNIEmBIiH88lSMPd5EYPC2Lne
pB1ZIgDETKVK/5O681qOG8nW9avsF0AHvLktB7JIURJFub5BsKURvE34pz9fUr1nWKiawmFfnRMx
o7lQjLLSYOXKtX7zHNl297UOo5qz1zntmojS8nHFLSXzP4RiwKyS9S1uKWdq5xDgTXk04jw/kvQE
4Ag6bOfgtjEjJbq5nnheGI8KAQgHLHYxSlvKDmn0jVO7Catja1L7kuWOfe4NQHxwkcFbBbHW6+Mt
iy/MTwKnkVTnNnYY8PQWznInQvB2qo4KriybWkuSW3tGe98sGn0/TWm+szhO28zGhtoIzOR3KfJN
rZX/2jA5aatcbcD8v9paQbrx1XZI4f+/Vft/G6Z/KuH8yr7J/1wS5n9pzrz8C3+3VnTzD3oqlNxh
Pmno73IW/26t6OofLgQwtH+on6HMQ37zv60V/Q+JVqdCRuMEBX6Uzf7TWrH/4BVPY5CEyMTulL99
S2tFP1fnQVBaAqLpcEMtsa3Faz0pKJylxMRjFCgzeC4rU+4svQGsaJdW8s42+wlmDy+M6M60C9Tz
+tBNCwih5jjfDXmB14fuzBQtWuAoynHixMIAySUOF3CFPe/dOqn/omSURIdhiAeYRb1eH2uKxV8V
nbxNgq7AVuBaonFxWnn2IxqV9ttozslz7AALpbVfgVSNDQO3K0hJ3l2aIk26a1tstTdFPlBXBQUV
phuImFZxTCwzr/nT7lCrH+Lq0apGxKzLjpB6UzYpLlC5XriHSMVYw7cD0LWHsfKaJ0XXRnsrpnoO
4MkmgbEL3Xr6FxjGrgZkYDQu4BEN2KSCCsNzo1KR2laIvTyoEJkN0I4y+NWUvTP4nsoYUXgT1FkG
PQGQjU/u/JHs1Xa3SLry3ppqZX4wqkz9l6UI56uBNvUjkqudtauGtkZEDEXs4bYlo9yPyDKhMxNq
2rcAXfMYgNJEsufhTfXkDHRVdo7eqY/ZWCvd1ulHW9w0mFkWGxg7BWLkkzJWtylORCAl8zENALNX
vFB4Swcfo1Kf823TBdDTOwEWaDfaiYX9H6/FfsP+hPfeoIxHEI7mzsEDrEfYTGc/mjIUO+B6lr3t
TCDu5IweGUg5sfUkTh2V32GWDk4twEZ92/JoR+LU62ETz72FsRWUKQ/TmrTGysSM1eSuyCStuQTN
iMpaaZk/u9GJlH3llMV7yGDlU1EPWvFY2+b4HOn4poHjB+5o4L8W+zRIuv6gwuAFsW53IIEMqZcs
BtgaICKljDIIr/k9J1uKK6tSaDl4EV3mGkSAuZNazEkpZZlRwsNFFc3h4LMqSpyXmgrpXDMbhLuJ
TJcpxUK9H9DZEY41SL5dYz0Vaq/9WSdmlPC3VckqGYr+3rLISrc2ZmcA/otMUIc1huCXGQhUB0bk
rgQGVxB3N6OjFx/7wqw+t2KsXOleFoMJ09rG2ai5AAWbps07z2y6Zm8bSXpUqeKMeLniZn0zNTMA
MrP3GnVbSeRbPDbNuzLNyaqCANYX9t5KRf2zDBxEtoImsw4lymkAtQuyjJ2WTACdnLztPvdxP/2Z
VPyIjTI69seyHoYfipOnD72hKSVGOgquTXUJXJLzQ9lnlyRd44tYDNG7NEWFdScgCjJK1AMBTzM3
+BmOStxvR3wUxaY3DVKMaZi8X3EV5hDHNLfk0eW2DUGgtvvaOoSqLs3BkXR5opvWGVtAZ/jHRjAr
8i26lcmHzCPn3MB6EB/nZtSCrTADTFGRP1ZgewJPfRu6ST4/pXwlmCOTToCGltrplRu2bV9WBpKZ
1LQ5oq4SP0wDYCc3rq01vanl9f4yFpwpDQ6whGQsHr6Kmww8jbzg1imSch+MejpuRndEI61WpfLs
3N6Het19UKPReADMoX9o9Sp9bsqIzWgn49br897Pc1U8iqiyj1k4qgdS0hgAOBv91cORdKUPeOkn
w9mRSjYWL94zpBmudlhECuXWSvOSs5zWKOoX7QFZ5uagZFV360V5eGPGItql3fz46gK+0Ko/743K
dIixZWMbTx11cYcVaVHPLhDvI3aRPF7Zf4Wqi40lUVU2D0ZX1PsoyGKqVjRa7JCPTqTNbVwa5YMH
Uva5iFN73Mx0LVYyw/NfRnpGLENzgtoO2mGLVA36QjLyZAiPvWLo+4iI/T6rNdpmeAQ8zLh1+gq9
cH074w1C48bkzTnkGiF7aCdkorkiug0ieQZo34I60fV1W1ZzoEAhbyfLwTDxaFQuqucVmUkzQb09
Go7kPafR+LlrenyQpXfJ9aHOBFcYi0Iex4PirGxCLLYoUKY2l3IbR9N28CfnTGePkG7qA1/AGH0o
q9SC/WFn2buxExTTxTg6P1K1aSdftK1mHVEWi6wbTVT1U9eF+r+0up/vOsRSeJW5QZvL/r442FAw
vrelgrIJ/NUOAzVEtKvfCfD/fcff0cliQMMhEOmZ+LycBgNgyEHTDEp6LNig7ayM2m1DdFjJ8s93
h1FIAZGnofLLtX46iiEJKbqbZEcza5TPaREHe2Oauz0w1TVhNfkgel1qc5mQo9owfwlxEspzOhRF
eRdEdpcdrbJSj0mRmH4Fsv425ALHoDCOcSduIUzVrn/9WMg5nA0M05NeOZQ8Ut7FwBnoeNXNs6OO
mcJeEyhDVtn0Zg1qOT1YYTSKOXkgmU5HcXrcX8HDZ0d4NvZPaAX51jXm+lvgdu2KEOLFCQHToG0s
VS+XDkpqB27Son5wDDyczGc3hIvupj+vr9ryvSm3i39f5YVLIZoO1Ol83GhOYLXMbBfX6wekt3iD
gxIFYZOm9Dcrl9xp5TBemhc3iYawAgRaz1ieEEHbcBoy+kDjnH8fumy+cwBD794+MU+W1eEfEixf
oumrziFWLVotSYnHqledQxXzzvCmiT+E6m3NPlXfPh5ngmcZyBpNSpOeLuRER9nN6Scc4xio0Dxn
X0SPbyq2DAgLJL+uT+7CR0YHVuWscxugVL1ovVmd3bUURDka7i53xtJHzvaTHpFOVIYe7HsXwLuH
IcH1US9sHOgrOr8gSGVxYrFxkxe2RZogiZwqufut6oPphlOJv831YS4EK6m8bFCwR2YUDOnpStaa
SFKIIfnRSLEP6+vUOUSFkZIgz2teaC//1iJogIUySDZoweIrsMiP5hmtKnUKqiOQQGzJcuCk7QYC
yYi3MV1pmK4ACJ5UytgfyjZsnlFj1qft4Lj4+ahB2HSwDOPpLy0Mh2c0yKZPBf0BCGatiD4l9hiF
e0iS6U2pJGCb60a6phpTZzRwcE3xw7VglWyINeQYc5e5JqY/Qf4EnSEddpHQI2szIvaW4RebmreE
gSjcRCNf5AH9EKqNYdunTxQPyXYb/IU1EjVRehvXbYed6g0u/rx54HyhFA9vbehFZe6EJZt5M+XX
6WCFQ1DexiLRh31RJepHtfAKpMso9twHAo2irWM0WJAqcYr4dGrUZXgsixZVEEUvuvdaYlCY4hGp
k7KH4bgZQjt54rmffIRumVZ0ng0HcYyp1uGGgo+ASkebRttasWh4MrdemewCKMIP8CiRZjBcrVzJ
fy+cWI9ohaI7YDcJuD49SoErTM5sgiDyqKXfrNAdP6KI7O2vH1j9LGWF2MxxMLBxIGHF/+J0GI0v
wc26tjhOHtlyh2zIfIP8ViMOeoTVL6CWpv/uQUumtqwkOAals6SX8DSh1UChgSd9PE1hu2vUroIE
i9OK7MUp2g9NqxFfLe3e+FflWiUMvrgPaQU2Vb1Ju4BXVwEC5d6bRf4LnF7+F7oigXVbc9za722P
QvMLcVIjHbTKZiV3ufChooUAmlDehejLLxLSvHeKANBucVSUVPmW8SX1W3tQtf1kK9a4ssiXBqOG
BaaY/yLII7f6VTxPdMWeNDhGxyYqu5t2TEB+OrQ4spSnwvX91OR+nUYFoip8ECTQXeoG6iLQOSL2
Mmoo+VE3OvN9OZUtLjmGeOdM9Gs36lzMt6Tp5S5QhuyrhlMeVSpU1w5qxC6uRMPzC9rQJf3ipYrH
v7pYZCfxEs2NCboz+XS7rbJM3U3UrzZAMxVrU7maePNKc5FJhQ2YhhQTjUX8LbO2btLJzrB2Bnqq
hBQd6G01mw4a58oJOr/HDNmQl/9BWAmprNNN1aFRy95TftTqvNnp07uiwieqd8GBtRZsaZQpNpPe
Bf9gTZkZXBfQUrJQeTpsJtQ4ROodPfY4TTZR7+5iunJbrTa/9txoK5nBeRAyCA9I7zIS4NZlHleo
hMUidvMjSVG0y7FJuzOpX6ws5fn38XKBMcTvOv4iBsEihHoKV/6YC8iCCIOVPhZ1KnIUgAWufx8X
JgQiFE6bA8if98Qi1en6EGELpatowIy49DpeeIM9zpsB5g5rxftbBXUFKnqZULlTiNR1nFdHUR1a
rWfRigQVrTGmEfFmLx45lkFcZfHYpeVYYySEVvZ9dQzxlDvAzPYO0ZRNn66v24IDRuVHDkMGRXkD
KO+ZLMlgkEIEic3CTTyNecWkMH+1TOxp50fbMtJHNMWc0vfiwP4LnaXhQClJeSiTNtkpgwACZtrp
l+s/6sK5sV+01ED1IRxvLx40wqm7AiZSdWyyhtIOrYKNlSveDqbQmkrthXNDOKXRQF5n8U0swipQ
oLBzRQDeJRnmXWXV7S6p+7Wc7sKE+KjJ+6UinkxTTz9uic4u5kavjnOLux64MvcTzneej4eZvYIS
uzAUPkQ0PNhYV0oCnQ6FrY6LbnFVHxECEXuSNg8fr8TcTmAW99e3SW7D4kryoIxh4IZEMopGi8+b
hhBecX1ZH00x2zeIdkzPQMrMX1Xrdi6mYKnydTLq7s0mt6g/U6S00OmFhcPdezrDcURSwtCG+qjF
Q7J1FBRnFTxIVuLxhYPBC1deuQAvcatZbFkGta/3EBM4xkmvvo+UWXfh61J+WVnECxe7Cb8CGT/o
d8SvpWBPKXK37ka9O3pu3P3QTFM8GVDxbcrsaQy0VK+qdoPFi46WrNqLx0nxrMInnTb1nec06fP1
TT2//qCUvHBopIQWLITT1R3cUQTOVHZHIbwMS4s+2CsimfZ5MDX1NgCt871q3EFqB0emtxLFzw+v
zIjRa5RlDAqtxungDVVykY8qYvteXx9U2uggOwyBUku1pj1/vr8MhbEMal4eFZplk1nodjcUA2L7
Ni2MQ2/o46F0lDU83cUJ0X40YJ7BZl3WR800oMNXhfguakP+TnFmoqsAk/g0g25cu9QvVGN5CSM7
xmdPggYi43T5esNKRNNrw7G3Bej6QZdMeC7E+s6Lrfhr5EDz2uTdRBurpZpu7Zu5tL6g32w81sLO
tmAgW2B2ESa8U5aHH66frLOfB16BOhilHSyzMDJa0g1sN3PdSHXrI2a4KCAArc7rTTwBxrSmfn7O
EGn808k0KOQ3eFyad8rk0FYqWy/+1SMMBR19mG6CZopXsOPUeViY15FM/rIXLTbyeEh1y0NfVcgz
pDiXHk0D3ZJN3mcG2JC5+csJs/DgZvjIbePOtT5rc45GoCfi/tdcuVJOqCl0KUIDXOFmyhPjByIS
mbVHvKH+PLP8H5oQlskGCzoaSgM+tuEhbQ3vU0Jl193XSAqB8fNyFZQrGI7sXZM20koq6dPHIour
eFPjs/E5jC1w+1btuLd4Z7rmgxZX06+5ncwf+KD1JRadbtJvwjAYk9vGyCwHxQklUfe0bxqxb0qQ
S/sosqt660VIC29cJVTwycFtFq8Fo5Tv0Fb93BoRNQSlyinhcNDacVOgITJsFdUN0Pgtgt5BqaNt
xbYptew4qhhFb6pKEX8muSOxOSVaTWmkCm0zD61dHOiRgLIV1jBlKKmA/9oiCoItZ4eCo7YvoxD5
7bIXKBJYmPj2+2ToGiS2+gkJ/FhXjGBHewiPyDHtuo/oWiRSK1JXvyttE/8yDNqn0EOR4t5lPIPS
W0BTigX6Kkh/abPX3PWlizBYEMmKaDhbaLOkbdR/0gZD0D6tIvNpwqSX/iU+Bwgqab3YZvjlIQEW
SfEG3NTVYNcGFXoK8FZwBA472/wIAClrsUmBsnnvVJHxeQTlF6G/7CJnzN1vFNsE5i990onG+YbG
pPWtRkcM+1p4UyaMgaL/Zgqj+onOWgyQbsLSzxmq+GfdJoAluzzL/8r1sWe1irpINoZWpA9YcUTG
EU0WwHtpN7V/Xv84l2GfL0CnKgHNTz56MM08DR12KbxQA7t2dDNvOqZpnG1p0Guf67lVb+c+KD/U
DQ9g+sPGmif38jVJKxAhWyIkpQpT3jynQ3dGPjY9Af/YJSJ4svu027XZrPmIxiGGiv7pzfWpLmOy
HA/6GCGIrgMEWPl7Xr3aqcrMjUk8PpJaKDfo5yaboauiw6iJn9dHujQzGkMWZD7JoVxybFEui5Hv
UIejNIncp3aEgmg8lodKK6uvJsiE/fXxziOsnBoQUGm5xNNhOTUAbHPoFM5wDNooRHPDE3dOLsxN
VwblvYvO2neOjnUHtA9BiUn3/KLOkKghYB4THeDHBKbg3lARNLr+w5aZIktOTqFy1ZK/OGe9nih2
OvrcoCwyp0RHyTTwdSjb8iGq8mHb2En/yUnbZCWsnw2K/BR8akzV2G3GXWRwg1UoWIKlE9COsCl3
atdhe1tZbpniuWDkT1SxeOEouFyvpFBnB0wODG8cIDl+SpiVnB4wB4SracfRdMSYTgpYFqa9DbTU
2InYVL9fX9lLY8nuEnVLZog95OlY6MOgQdJX01GHQOtX0Yigl14pGb7cUe9fH+ssRjAvyJc07Mhl
yFcXb6VKHSBYVxZqO0mjzAgstWl737uDCkumtBAYS5O2xFIdAWx1SxxJ3/rIh4tE84QsyqK9ACF5
Mdk5m7E9rFz9aJbD9NUaqgEFL6O8fZnmm/B//98h+yCjGRouYa929Aza9xg/d/9zK7Ln4qc40Uv4
z//5b1Sf6v1B2IKthVEcAjSSsv83qk81/tBpNaIfCQGYbWAL/kb1WX/QH6Fth+ELz4YXFQPw1y8G
Qeof1A3oJlO/c8izqJjabwH1nabuvGwpWhCbVflIIKAsLZdtWP6FrRZYGeS1uiuc2txWAzWSV2vz
4Xf2998NgH6PArwWgXuOGlnU4iEdl33V5qhb+lVHFt3ErrMd9OYnEGhl9/aRuHmhE8OkhhCyDFR5
raGeTcvCyfWfduIGX0tHlNtkDt2VkHj6Bf+eE1xCXrX8Qc4ro8mrq6/Gx1zHIsLwo9JUNzBC491o
OflWzZPpE6KM9h3Bv75HmnCtVnAap/53ZMguVLB57C5FICq6Cv1Yloav89A4TG6IzMyUFzITDFaW
8/TW/XsoSqhcOkzxDPE5uvpsdCpDRYOWvpu8AU8ONIQ/S/DM0Z779Mf17btwHKVQCAUJeezt5aO1
nQe0XK3a8PFQbHc2AHSUDa01saaXgsN/3igv04KVZCE2IS0bgWud7p0Ixz7QjUr320BpEkAhZf7X
4KGXiuhrTSl8VNPmPiw06/M0IE+/Sceg+qJGsY78ZGw5KdKZYLlmBF6/Wii8khR02vjIZ6uh35rn
lDessRX39RDVf2mB7v5AzDFHpxzoE5AnPbW691SU+nF7ffUuHAym5dGlpoMrSbWn07KMoDdR1dN9
JR+5wIIMtcVADe8sNNnfVNL5vYKG+vJBy7r0Us1h8hIsXudB9wOoGgcvm9obW0nV39fHf0XPXJoQ
Pmkk+sQNyn2Lr9nRU4gHbm36sUBVsAtzb1NYTbYB8LjmJnVxKBkBwUjQ73KWRwJYbh5rlel76Mqi
3ZrCDESB2R+84U1Ny99LB3CGgfAMJbwvJgXWsRkDPTf9DMjzsTZjc5tmWv7x7WfBBqkNTAcRjDM0
GXZCkeXy7PPNacB8h5Y2pgBRsPMiQNvXh1rUvf+eEQkpJw+asLWslUwYZA0e9pV+AgkP5Lbt7Vt0
K/awp8QeoHRxp/AwvrfFnDwlZTO9r6Kh3DkKkVExwHKJEs7U9d90IXBRJSa9Yo1l03aRN7qKN4UB
MAS/LET8HkkZ+3um1COM5AoVPpguK2Cey+OB9OKbICIvi1N4s2l1SmkBCWNP3eKz8NA5CqrDWrlL
4vjn9cnJE7IMX7J/ScMbYZOz2hQiA53SKyHWWZCfDtAsjccWs6uVKV36IqRci2xu0dVYviVRZyjw
s5z4+CwMkPrZErtKNNmN0ofaylAXJgQWk0SEBo0UFlvkB6FHLjzxdvcxsbL9XIEHBJvNXsm5Tx8x
L8eUfxuiKIGLJ8USi2dWSSbRXaZfpE6zK+EM7s0ozp9mYF4oAJnVXWKX/f76Xl36OOiJkP+Rzsmz
uAgsVgJkDyYB0+oGdHUrRDC3VRirO4H4ATrm2fjQ8dMEFS0bw5PYCJ1PVZ26GUIXKLnjDqMHz6qT
zN+v/7AL20tRGCwsj3QsHl4sB1/lL6U1usmIDL3f6e2wD6qo+oTDiuljZL3mj/1i7Lo4sJgpqNQr
eXTQa5D7/2qssWxmr2pZg5gAMYGXSNIfosZsdut6caRsc62xvgz0Kn6g6Z1y01bBOzxWIG82UFw/
4PCS4z7mlNntiEz2uEEn2PmWaJAqVq61C0kd/vMcdp1jAl5THqFXPzQqoQSXk2b79lSlqNlmQQc6
J5ujd6oWDOWmoZ32mCJWAbujMN6eJVM+501IUkLm+iIx82rwOmjrRHEqx+9bXfiiqQZUGpGpUIx5
zWHp0gf3eigZzl4NJfq+tadcOH5XNPZWndGE0kJzTULi0iguDnI8p0GU8T+no8TD3BuFFtm+EyTT
jall3q2e6GuNjoujkIJIuKQ8XIvggRFVgUMNe+bl5nQLLeXbpM1vQ5/+jh08Kv49yCK1Ggx00ye4
QT7qwCbIp/GTCpJgJVZcClAAJrlEVFynaFSfrpcxhZ4wVXzl0qG9J/wHmymt7yes5TbhED+b3app
8aW180DHcWEhVUBh7XREHZX+pil4/oHVi79OtIbuh9it3gb5+716HkJc1Dlkc+4MIqFEMRDrjGFi
ZzzaFXAzmCwKtCo0hd8a1jwezaSkiP9RuTMXpyEsjNyhQGz7BeZYB34QXhuGZiKgm//8ByOR7qAv
RjZ3Bm4Zo3Yc8xSl/VhH4t0uFPTCNMSGWmjmu+tDyY0/jZ9Mit4w2FMku0CEnm5TZmiYd9ET8wEl
i8/IlTrbCJfXHc8O/RDYbfzmvJvxGIlASBOH8sBivFJChlvGC1O1feTuwHPR0IeHvjaHlTN/fgKp
CbB6OjcjBIiXlu6rSOTwcKVGX3I0kiy6UetKQey/XEPvXhwFAATdbunU6yziujNXoPVmJpSEqRT6
yXFgGIZsBS9AweZsm6AsEIR4mJPey79/NZckUQ1BAdX2NRRsN27kqNt2CHu/SOLhkA29sR1GzAYE
ONGbQWv7leffpVPywgOQ+YaJ9Mzp8A5ecAYFa2JUNmiQn7ABh7pWv8PfufYxEg3W8v7zeAWkSYXp
Ti0KTs0LX/TVfMsmL9H00yx/0GZs7ESbPHsB/L1odNNbxVSUhyiX14uFwkCQtuN+QFrrXsebOKV4
H6Y/G+xHNBjqk/tx5K59GOZmvFPHUTxe/340mWQtPiAZD0D+AE1x6OqeLo2G+7brtYPlc0+JZ8fr
kkcTi1d7WySpBnZWSaJ4yxmFNKZHXYKBGsa3DoR3isK7tvPsnw5iGNVKtnHhVOLmbJDX8FDjblmc
yjTDns7kBeTrcEx3nl3huDamb0OOyeDLLgFhIcDLrMZafMxmkratm0WWDwaq4QR641Yv0LfEr7BY
OYHnOSUcFJjLNGkgmyP4d7rMfVQ2asYt4+vw0qoNCVtx683e/Cmaqsy/vqcXx5LppBQ+JqFfnPY4
zXmQNrntR4ExbzMlze7jgbuzisf5n0wLLD4FVyTESORPp1UoVePglGT7daOOuxLSxiatydMc6iwr
R+I8AWUFXyQEkQeVsI3ToRrwoEI3EKhzWmd6p4eDvtODECn4wTU/m2ZR3dS5gdFLtRq8Lh1GA2c2
izRH9noWI6POHej9RI4+mzFohrLOpVXU2zgGvw8j5AnK2jDGLMDtp/PLKienlcuR13qUiWposrth
SNcAoJfmAuGKo0g9TKq+n47CEwZn9syy/KxJ4veNaYIX0Xrj0/UTeGkUgJLcX7QkZTvndJTBjUxc
r1Qk3ZQwvaM3Ge8weG5WouzZKIAKX84C9X7IJ8tKG5y8DuoJu+EhtPg+b7XsB0+6N6fqchTJEaIp
RMHt5QX3KpSnajR4biR9PV0dVRQvL6Crq+1KcnYehwHS0R1HGEsKDJI6nS7Z5HSBbYEB8GMb/OHW
00JUf3BDwIZnxKP8ERUv24BNXDv9fsRW64uaIQG3UTIwRlvqm8Udhi0AWa5v5Fko4VehYyJrjLz6
aHKe/iqPIoc5Ebn8Dh2WG9ybftSYvhznQV1LhM+uaI4L2T2tFhBqNJUXEZ+mQRLiEZX7VlHHe+A6
WKkkSTrd48M5/9ln6dpD73xqMuSzqyhLUPJYXjFKi6ZIYM6lX3da9jAak7K3WNKbwhPtW6OkxLhJ
+CIlKRScl+nHoHvsLahWv6Nhu7cnF+k1MFEJZfykWPkoLk2LpiUJHcBMcq3FjiEVgLREHpf+7BZi
g3BQvG8t6cLNlbp76+GQxef/DLWIJbmioOwtbUrquQCyo1N+cAb0g5RRtVZW8Px0MBTgYflhcA6X
4jD4VVEqspvSTy1UajsLJpbWN7CNFNjxqTOtDHceWeRwsqFPRYZbbXGDmiInLa4rgORtMt8lAkIZ
d7VYKXe/6ESe5F7yXLwaZhEmOwxV8IRir0YITjsxJMGzO05YaJlhvckok24NxfCGDTD66ej1Rfvn
kGdrhgyXDgzVJ5IS8i0pXH/6iUPs6BSqwByYOe7eZ1Os+5Oi9jeNqVX7tx8YFFJA/1DHAQgkl/1V
KJ3gyeDIl8rrM/mA927ja41jbPrRXQNcXzovpAi4grPEZOGLkWqV/IB3SObPNc4xlRvgUDULvGg0
2pBB9fPt87J4DUoWMy3BJQbEawueNlWe+wqSHDsVmbkb/IPym7bXo5UlPMuCmM/roeRuvlrCFA5a
YJeRvCa6ONpVdYSPsN518YfWs4a9VlEa8ypRjrtG88q/rs/z0qoCIIaBTlIOwHwxuKM1np67Ye63
3RA+kYY1vzDvag+6IsY7Lentw/XxLk6WHAXvAFI+Z/lqxAkt1BEzyeFRq+VO8eocNYeg+SA8NfxX
rCrze6Pr+2MVt9bKe/Xs/SaXWbrRckcQ4JYc2tGIk7FTOKmN1zn3yqRXMfZehXur0+n9gvqcq2/G
AXPS6xO+FHdc9Nhtno2QTNzFsZ0LHAut3sj8KRLG1nSCkGw3mVaW9dLkXDS/JccErtOylNtUJc/e
3GEUlmBnCMt+mggOj5rWaORpQrvLK7dbE2u+NDdayi9EIN52y4/EsCarK9Em8DXFmw8N5eN9o4r+
6foKLoDupNHsnHRP5nHNkQHqcPqBoB6UGHrK5IqkF886qnPzfoB9DyBsAsa0dYei/WtEQO2L2iWS
fj08tJnpYuNn23G6u/5rLn0wHphD4AHAUc6QEHwwah1HbuYPiJ5/toSS3aSe1RxwRBVf9TzRV15+
5y0V2bGg00Y6DMuc2+V09lre5UoToiVcJlM5+h7uZ962H7PY8RFJQsJWgVUH8Str5nyToMGAVmpi
ucUOp7pJ31Lz7NTbqjTUu7ZKEFi/vhwXjoBU4YUFIyE6XKynv46Mi1cJ+GO/dCf7qCaiekDwcm0R
Lo1Co5/mu4RxkXidjhKmSmrGyZz7NI+ezXnKwd1jCfL2qXBZIlYHphSM/2IqRorKjVWi5qtUqVFt
jQC8GO+HYA3TKEPqIkWQwmcQIWWyCqLmdDKlARwjmszcT1WRbUd90u/SWPc2Iq7T2+tTupSOSAMO
eo2g39ijRQquKgY+wGLIfWNK1feVEaG/aDRteRj0Ujx1aJZ+1RW44lqfWMQlResOeenGK9/Mxe1D
epB470r+52L7xqmoXDPhAwbnDSskLMJ3ZaT0H69P9tIodFNJ/MlGJCz5dF2J+RnIVEGAp7+6baOk
OhRoQP6DuegWnVtSSJyBlg0YUAGiMNAI9eM+jx6s0EAXuguHQWyuz+bC65GcCjYyfFJk8ExLBqJX
aUFd1wrOGGrhF+wK2hW9i+5tW4LUUOvoMdQRRoYA5H4YMc7ci6gVD+FY8cLy9NiLN6J33ty3JhDB
cKXbIIk+ELJOf5ApandIK1JboejqduziYZ/GqfkPvkL+eZlN0tqg0nA6CoaskBp5i/pq3zY7Reed
MxT4ea+sroyay4+QAhCNRyr+YIwXHwa6fOXQQaf3G6e7n5wcWTPTAz8xfNLD9gkR6buuN4+lYd1A
xsCvw0i8lQ2+dFxpA0hJTuBf7PPpRBMxCtR458I3jLxFFJ9HUBsp1c31iV4KNpwjh7YDWCg44Kej
5LPbqV6GnF/GhA9VV4mHqqaDU9rJGqjo0oT48CgS8fCQ8jynQ1ko51M3ago/GSp70zU2VXL8J1d2
7kICCW5J+rhAo+X+XSQDjd5NydTXLJvb4ZhuDHp9X2vmiNthpY/hTmIA3C0yUjNbOlnFv66v58VJ
wlxECALheW0JpiOKpnYRFzwjSVE3VR839xUWvyuX/sVdezXK4mxYul0JzeSxWptlfwBmP+4za4y3
NvrVK+spD/ryQyCOIfoA3YCu6GIoIy/IWc2s9HUixkMe15B3kF0IkLYMXAw6XeMT38lakflSTgd8
iutT4n4la+/0sGD4iR1pqrCNohH4WWMY+MxBrUtAUmTHQESM74Xbe7gB99n8xZ5z78+JOhtwxU7V
6n9wdUjkvY4UjHzuLaJBm4hUYSvZ1STrtjHds37TWU5r/4NvnvYpHDtJI+EMn84aFeC5HfHO9Js6
nqT7sthnvPT+wZYSVKDjAAYjZ1x8iEak1uDhKIPlU/8NMRepy6k8pkrzFVZvtRnj8cv1j+Lybr4a
cXGI2OlUcaCT+UqSax86My32QW7U29oT9pOSh9N2jAf1NquU4bsZUeAp537yW7d1VqZ+6fOk+Cf9
xkjkztDCxIw+4VSVvskzejcItd9YAn3O6/O9OAr1Y1JR3s1n+UwQR7VdaRxeatMjKhbpd5TI438Q
A2jh/nsQ+SNe3f/S4xKphRCPMh2FswF9+q3GO++mcbR65Wl8cT5Yp8maOCzGJWIJNGgc2xrhxrAV
7zMlrHSD8lKyEjovvmS4cP89zOL0w7cLKi3jK+u74VlDlrJw9U/I0v/pqGKP0dJ9K7r3ESbpgd4+
ZMawK5Rfpb1WB7gUW5H2pYyKegWX7+JGtHn524pWksZglHuXeH15q/VpdexACa2sq/ynlrFV1sBB
+aHaT5P6dAvVrrQUGDi5nxntL9XolU2i9rdaMX5Jajyurx/KS4EcrW3YqPiqkWTLi/PVedHs0S2i
JiqkF4ZANGMslfp2gDlcbOdiKB/LEgX7fYII6D/JMUhUQWjavIlpUZ6O7DQ99OtqkgWseUYJYsTL
K5/CfYgS7MpHcWmS8uZHGlrlMbxEnkYtrHazp6Wip3H1fWoq49cwl12zrZU88k0gfjANlVr8gywK
SJfM0+CqcFeeznCyISBkVlL4YxC3H4U5GHscncvthOfEyjZe+hYl8AVMj0TmqYvjGdSOjrQ8CVvb
4lhmoE97sObMentLgUwNw2mgd9RvlkyzJvLafsSlwk97Uu0eEett3KOgK7AaX7nzLm0ZbRJq4jbj
kYSerl1STm2GkUUBUKMuIA+klWvshnAW+7CHM7CZsrRJNghJrenFXlhJ7llZNwKPKoEBpwOraR3h
6tAVPmR6LoQJrTN3MOfbN392ZLwvz3nbpUSxCGqFNiq6AtjW78ZC3IpxHuotfiLN57qwyq96UXnR
oVGtfHd92AtRjB4s2kbc78BfliF7sERuYLiT+e0EftihHO67jW1skxC57+tDXVhHhuLVx0GRiBv5
968CC55ldkZ+lvmjbkW3NfrZNyUywytf9qVRPAdAkWQ/ggZcjJLrdmmO0Gv9JKvybZ8a1rZxinb3
9rl4cJgQxJUSIMsP2ezGhienHAVUyA+g8fnWQmrh1/VRLm2OVEDF541HAgH5dMWSzu5UXCoyP8i9
5BMNXtdAjqPpJM/8/3B2Xtt1I0m6fpVefY8eeHPW9FxgW4oSKVGmJN1gsSQVPJDw5unPl6w6PdzY
WMRhzfRNt6oUO5EuMuI34UbqurK9yEJIdqRmPuXRReo1kaB0iLlnp95qxNuoqHnblczksfJQ4EAg
tvhlGF7RbSyKlSFKkSHJq/SkFLP8Wc8WxQAVXPWQ0jvNWYJjRiKSXWEM9NGNcdiYs7Uili0jyQKg
7BwslkZlFEWD6nxG1qz9rmgRF5qwH/ui/uoOueMjzp/daTtz44iUf+vi8pZIL4daBNIYXG+XI/S6
Kk66aaRoVfTOcbYR0LaN2nl9igDWBh4AGBGoB0uwoxd1FH/7OjvFSHygxgYNdvDmm3iQdmN58Df2
MlAuRKFkpke3bvHsUlRzDIFeZSeVivDZRfDg1rDT4bUMB4goz6Ms1v8Qxr2LpwndCAUjAluPypss
rNqNE2NtCcraDVcLejtX4ta9PfLTtYxd1gVo9YG2x9lnyA86Fkgbq31tLTwPtVgLedSIvLEKTlvB
+zBt0EKNra7ZWOjXUdjCsHfop1KjuB7QVMSqAxQPZtFIFTqsnC+FMbo/Xj6c1qJ4ZFCSoSBFKxd5
ouhh+E9Do5/CnMlJ8GU6xChCb3yxlU1Lxwu+qGSLAshYUsyKuhvSQYm1U6iafqFM7+2sOE5tjSSR
Kk6pnrxz0BLFlOAEPXEjh3o6fS73LkIUVGltxEYorS3dkJUwKoFcwQeLXSvC7c/sb2L0yg49KgJv
q3x090xhFfupNw9+k0WIjxRV4MNgbL+5vekc8qmpb/Qu1W68yZrfqfhNvQnyNLReP+U26GNqc1x5
aEUtchTd7HgehPxQt/PaM+Yg4wGX2XYjR3kqfV9+DwotoPn4HB7U5CVEzPUwBKEuXJ3GCvssCHJj
aPhh7oofbW+WH6uk174MGlIPtRma2PSFeYExpw145tS4BRWh1iiHwW+Trqv3BlqdNborRob+hQhx
9UJwP2vfoMg8NrsmVkrcIPoyVX2z1dP6bA4T0rF5azqdr07pdN8h5RnuElEmki+mVo8xqpR/zEni
2X5eBO2bUBn5W3NTCxqflK2edlFdRJGf0+hId7CY8DPEEZjHY5HU6aFBpebH4MBD83H/au8j3kL1
4eVdszAIlU1IUD5g32mTU8BBFf7yOuhI5zpqVpRuZmP+w5ha6zTirp34oablvyHTrv/APDbND4Dk
O+lS1YYhWjjF9AtDDe1thT3vvSrs6RF0l3fWaVH4wzDPnwKcKbU9aUTY4yIyZMneQYq28NUMZjoe
RnX3I4ZW+cGo5ko2rLlqd0FfOvGu4KnyTQ+0+dPLQ70+V+VI6euSUUh+zuKww/fWiMPAo/g4qc4t
0uOxX/Q9Rstal25s1OuziFCsSbIICZNcnkVWixNXwdo6OUYl9lk3d7u6z+uNO3Y9CnV+iKj0bJdy
cxlOoWKslfJkZ6040eRo76JAqBsn3moUzAJ46ECmQhnscoF4fa+PZuyWpwzm7tsJGYQjcINgw1Bi
dXIo41PAAAuGYvZlFCMRqlfPjKVIqaqVZYH3NBKufk7ha//yOrjOLJkcihZcRlIGZUmwztyqqHDa
Fae4zep3/ahqH5s6wVsUVaZTrQVYK8ZNsZHOXpf3CWo9dX64AwH6XI5P5NWkg2MQp34Y9Y8Y2oRn
lHzCu9wJPT/ElPLYlXT3PBzdN974K5eG9MiQtwWYH0xsFzu88pxGCVzKU3qQZeKcNmUa7rTEct4n
qtU+qLGHhcfQVs1X0wqsb0bt4coXj0qAYWw0fhx6tWVTJqX6taV3Z/tCjZr31WBXnd9Qy7c3TiT5
cxZnOtc4SwCFOJpYyxcgx2k0InZRArgaQY3mXpD1vla0n6ktZcdBZOP3l9fDVsDFuaBqUaAnBUtP
ddIPXV9Y92Ew9A+qlU53YfBqMQbO2yfEI3xmVuGTb8azB4bQA6uuO4YXpUX7AGG3+2Ai3fGpV7tD
kA3dxuyv7V64v6x22UFGu+Ry3WmzibUoNiQnty+D3xrQULilxP1G7rW2e0nvTKxF2MOwcy6jqMlk
uIHKIaTRfztg+6F8TEe0mKdRCb++frZgI8KNwfKPd8UiswhiYdLPdwkFtfKnV7vFWYlUzzdoS5zc
Mcw3kI9rQ6MpBiGcEiCAncXB5FVxNVVhVZ5EbmfvRODoKL6VxkFTky3755V2A8Kasqwjo0lUyOVn
VOKgVyyXenVEJ6BDPSh2cXc2hq5DA83xoMy69UDTNrGNj3phoxLnDqCRD0Y1uTelrvXTxtm/+oue
7AQslCAgTcjl9Wy1YhGHfW5OFy03+qZBFsPCuylWrOSEeBXu1CrGRTsz0vFAbhX4p4NR5b9cMUfp
LoRx9+X1c08qRLXN4CS7SveUHBupLs3FyVWCfJfaYfjJitRsr8Dnx+M3m+//RjyaofCJnlpbi82T
zHMV9Dp7taZcCSpBp/VTaHa5Rw/Rxlykx8P1tRFJF1jaOH5A5yTs4ntP8zh5hVzdRdv4QeVJcbD4
R2dPn7upUHevj0axmZuB+gogycVeqkckanHSrU79rBcox9Yj4nve5Py0lNT9PCaK/f7lgNebCWa0
bBPCjYatvny/iKAUfMmkpjuqmAezUZuHRgz1PoJg9/nlUNenOquVB4hUvpfk2EUhxzYak1PdEicB
7OljkI1t6geBapa+zpV74+C2k29M3vVZC00FRBtoMURiSIQuJ6+qZ0eNKyYPEZX4YGH1up/HeUuH
V07K5f1IFE4IKh1U0xnZZRTeH6oTJaM46a3WvuvGSk18DMLzb8owTo9uF0a3vGmina7WeuBjaJts
TOLaMGUZBCNL6m3Ik1z+gALHxr6nD3mKisDZ4c0BgBdj8lcnt8C6nkVZ7D0HbcA6UcrqZMCc3hdm
bOwx/Mg2puw6FyQKxHamTUdod9l3wXMyrqtxZAcYVXKTTrr2W4cR+WGw6vLDpGg1HsRFMG6cK3KK
llOI4IesVWmSCLz4gtEA7w4ryuoUlmVV+W0TDh9KZcy/8ujpv9tJEB0C4C0InEL12L+8L9a24PPY
i+9aGiG+vG1enfI2wD2gsZRDh7TXF6/dlBdaHaaUUlOp6AOdWYRyutS2rN4WJ2vSovxQpkLboSlp
7gtNoUFiIop97DIzPTl9Pp9fHubqxAL/pl7Cf640IOweLLIRJhUMcusmN9RfoUDfdZxa6H/JMcYJ
5uV4q5viWbzFruw6x5tjjE+xFxXd3sS/3U/14PWga5YrRRU4R5D8UFS63Hp9gbRFgUjwqe/rAnIw
KXjHPXt8eSxrSwT4JqJMTBoMp8WLz4lnOLTCFKei6MIzfTtOtFDrP9ZULD++HGrtsz0PpV8OqFMM
7ENtlkiXh4m1I3uIOuTZzeDTy3HWlgMoV56W3Kxymi7jaFbtAD3qqtPkKOq+TaL8WyHFgf046OZ7
3e21g5rgk7h/OezaJUTCIhlVNE2Aj12GVbqxT3KTQ0wtq+mH0k0Z5c/MpbJkVzgB1hOG5S9HXJs7
8hAaaDa0KtKky4ihZg9Zr7NCQMVHZ6OorbNZhuOt3ujWw8uhFuKqsnQkO+MgirkKqLwvqZNOHBgQ
VMb6VKmZwITS6T6PnZOfNFTZ3xZZ4IU7NFWBd8AC2Xtt6tyPkMp3s+m1b0CHOp8LlOvvrSGqTy//
spVVhSsKmkcubsu8RhZ5TafGGV0yEHt5PtqPxTR2oe+aShFtfOyVYjC5GjB2mZDyVFt+bQcJ1cw0
x+KkpJ33oAk7PtQ4hN6aahW8BTngfkmbKjmao+2ewNd5X6xJiZ2NX7Ey5RQy8BugPsM7b2nmF2JZ
D7IVwKWdAeaMOqU8Tn0Yxb4SOOOrX0MM+FmsRX5aBHbilLHGlx0MZTd5qU2S2pa7ubbmw8uTuDos
2TuikIzxgCe39LOnh1GgbJNGTXmaMkrItdU2N3oYB5+DSCQbo1pbLxLyJJ9eEvO/GBUWzJMT553k
Vyb2eXTK8Wuh9O7GftmKIv/8+YBK3MNmuA6nLoakpztB+YALdfTqHhXMX9aiFCMFsPq0ZJ9FGWcn
NcyUKJbTDz5Omcahc8Sw8XJYW/n4KwKN4cxHnM5c3HdmztQInUVn9t2nyVLqDzrtbbo8kd/Zw5uq
Ho6Dpoy+ZmOYCTJ/43pf+ZaEp5BC5RrE+hJkjClCPbXICZ6UrMdkGCa9tzezTmwJ7K4c4KSG0jGQ
/6fGulgZQzsJ28Vl5QSkKzp57lwdMCZyfTDjxg22yu3Gol8bFwhjytN4cske0+UaGXrK5ghNFCC2
tfRxTDz1QZ1mZ//y1tqKIrfeszWiBi0+AnZQnKI+EIduEP2uzes/Xh+EXh+O9lSeZKf5MkiXjYpV
Ir590qtAf4tbtn1gMWyptawNhS49hz2wejr3i1Oiyoc+yQqOes3K41t06KO3VjfaH18ey0oNVToQ
Mic87Thhl9p2wTzb8ayCzq5hUPyeJkn/VdMz73s6Os3ZwTlqpxReIg5OlMc7nO7deTfRgfKbMJgs
mpGpe6v2U/lIF6D9zQMAeaiDJjnqSNtvnGVrKxbheABdtHTkA/jyswdm71hDklOu94zbYg7CnSjG
O13vvpYN6cfL32Xt6+OLCxOHSGjmLII5FrZ9tLDKE60rcZuHtvmmaLRky+BG/jWL9xKVeqnpBnvJ
vSoboL3di6iHlK4V0fR9qBVzR8qR7iNq1xtPs7UR8b6m8kKeaKOvffn5PK/v0kZla5RzmH+HYaTd
5BBmDy9/t7UBIQdBikaPiELPYm8ouZXlSWawaltdeRsMtbUf8t64yzs33DipVwdEKkS1BTgcD7HL
AVVCoyhqEMqsynyfD/m8x3NlK+1cKUrI2YFJRuJF3UWuymcnShSUSOwGXgGRzR32oxfvepR3RBPc
2079i8d84tOVN3zsUF8P/aAwyRJAGQc+CNf3ZWgPmrGG1GBxEg2yTLXW698VRGY3ToDVz/gsymLG
wlmJ5qxmgNloJZFfxWZ8ayZ5uNGLWP2OJJOAMnndcbldDqaoJpJMgU5BVIgBLIY64W6aifAYR934
3lSi6M6mO/Umww7olrpG526sTHlvL7aalGOgV8AXpVm0OE9bu9MmnLdBL6Sx964MteTQq4r6YaoH
+x1OvdEB7zPnxL/sbZkormwK2s+U6Q14WBQMFqHxRMiiRgGM2npOfadDPfuaa6P1vYQ//vpzi9MR
CDNIW5rfy5cLnoxV1SoxCFHPxhOm08s7NdHtzy/vcvmDl9/yWZQlF6QJ08jQUiCvuWvgugI44E7p
tObsDfNUHecxFoes75x0YwpXlir5vuzn0xrmYy6WqtfFfZNWDC4frNY3IIHUfjpF05bM5tp80a0l
xSQIfXX558/2vBBq6Y50sU5dWx6ySZgHd0h+E1W55Sq6NiD0NGQbi4yWgJeBNH3WWBsEiqPCu42a
6j7QPGcjb14bDagh3E/gC4GFXozGJYeIuxmWrKGys1rR3duzjRNkl0w/X78sSO4gWnM7I9e4SJ1L
fAUhqWpEqvpd0MFJ2hmlahzSrm27XabhCAzkXYw3L4dd+4pkLhIG6sEPsBcXga2rHUdLLBUtRtt3
NZEC48i3JDrWokCs4viS3LwrcHI2e2muOADZrSRHk93AcDV2NhOC9ShAHkhzwP0s1TmyDiyQUbX5
yUVjwnew1Hs/GOGW89vKYYxzJhVahABwklgCrVs7EwK8C1G8rEdZoVWtA69V92uYduUujCr3M2pO
6c6KQiX33SrZcl5dWZOQyHR02OjO8KZb7GSlnjWe86DZ5xnaQd7BlEOKZLydqm7wX706LkItVkdp
eYmRRPBGYQg6e7d2Hg0u9L8VBEyYzu0GaVpO67MTo8tNkbX0sRDbzCrg681jj+/q65+GQAApfYEM
Qzh92Z4QWqPnQ8gVWqhRdfIGLg+NJ8Lh5e+1NjU4VEghQrjDV2akRm6gLpLwvZosLEqEEFtl11tZ
+zauleHzy7FWVjt3sWS6S1lyekuXny02KrNBnFFSJyo6np4kvqmheH2Gw6UtfXMoWKK1sThlKwXW
CTgUFtuQuI6vmVV2Sid1/v3lwTzhixe3IgBN3u5ANbFMXqqHqa05iiTuyX2TdnrfB15qst5cO/hc
p0MX3JqIJzWAF9O+3cepVZ+9rqmqQxpF3a2DBH17joYxaI9haZu3qcjs/mjU4Lj+xlrlqMQ9lxaX
5IZffnTR0MQuhyA/zWP4+5TE2p2rxflGk2vlhAG9SMUJHJK0ypB//mxD5I0KTtXgZvM6I8JbDi58
6PRfLKv9EOnGWyPp3/UtUm6pNm+gwNfWr1SIQ+IIvthVf2SAnN1rec5+F5az5/mmHsK2BGNfYYz3
8oyvDvIJUE8fSOLOLweJrMAsNBsCV2C1P6sM7cXGqY+OF3ydnfmoxCPSOMa33Mw2ts0KeAGFFcrU
dDF4EMMeuwzcdkFYpSk0NVxx0iOoC9z6KiucvxmV3nx0a6V2PrqoqryD6dKPhxg2T33ojDGmbaon
drbxtFz95Fy8YFYo7yBif/lz8l5R4ij1cmSagXUAjlX6napl/cECkKNvLN+VMgD3BaVT+FY8+pZ8
7tgs08oxSKa1WLX2mAORgYZVDzrWpDbgpJb1dzaM3C+y8sBbfUkOmQJTn7OBtTzSfkbOTbH6fR6o
RrsxsrXTkGoAPTCduQVlefkZYax1uBq6+anXvAK1+37euQA7N8oo61FgiKPoSkN/yV8wO2EwHFDc
ZQz3T7GEeBtix3l4eWusLQm5CUmfueFR5bocS2o3NPN7A1nIxkt+lgL9Cc8Lw+9ZMKivf/LIbv1/
Qi0+mzk32Ou1rL5SUdM9TprhyTVT5+HlAa19NvmIkzRwAKlL1g6m1J2gbMzkdI23HyoR7mcg08e/
EYW8T6bp/N+yxq0GblYWFmPhFZn+RM4s8O3SNX69HGVtC/GQghXJf2BJLA5nyibRzHWcnwABfYed
+YAdprfLaqX3k3EL1bHyVoQbRi3NkmnYlegu/AvVzRDOOE19cxe5WCcouT19kB24j/AyAKwYW0rT
a4tP9go4GpkvEOCXiy8fhKOA5StOvLmqHVpHli8ibd5JyPbGnl0bHSUNwIHYZ9CTWzx5Ii3tq1DR
uW3irvsYa3WR+a1uhYcmmIPfWpyQDsiWbO2uq8XIEoRf5fEYITKnxeUA56Qfo8FpirPjNuLeSHNn
V2bOFoJe/i0X+QxReGdDBeUdwuwtNhY1qVqdOjM/D6It3dvJVtOD3TbW2Y3caDiGeg3eXRv4X7Vy
NrbUp68mkeg0YtlrPIR4gy+Ql0oPsr6Js+wMlbGG62pGfht7pZ+kzdaVsvI5JWAF6gtoYnKixXqB
AKEPCZ7F5yToPBdVcjU51qOhv3bbUXp9IrFLn3vqSIsSGCqUrYHIQXpmPUVvisEKvqGr2uxCC9eo
XarZYv/yPr/+hNS7yIJoz8P8w3L8cplEXTNaY1clZyuK6gdPUYcfQTV0N5BWvA2U+3VKAugH3JYU
lYNci8bqZazCmtoes8jkrI3muDNGa7jtE32673HG/YYrsXtQlc679fqhuS0wWzmXTRG/D8FcbQz6
ejI5P+GXSZ0eOZeLQfe51QRWnjPoIW/fqG1aHuMk0TaiXO17+gI8JiQTCN4kFanL4fYResCtcONz
reoKyiOj+zB4/bQL47n7vR7V6X05zOqrK8IyKr1c0Pa8aK5wCS4KJ5QgpvisdlP9sTPU8aGmdv1a
GBxRiIPrDih1XgqLL6gggepmlhmfK2TcdmnVdn5F7WPjC66sGMLIVE7amfIx5UQ+eyK4di60cLDi
czuKhuXQiI/A8u0ba4qrYyKcCBXgyMx8U1fiBzyZ433Z9/EjGjPFRgbxdJZcnnQSYwDdSS5f1sxi
NuO871jRIjl7DZbBuwJEQ32ckSa+85Q67fGVpj63R0PEOeiKB6FQoXw9n91ZGPlOge76dpojLfc7
p3cfYV/l36uSU8WnvaMGB3c24pOlWLN11EC/fQhM0d9mreveKkMD3NdgvZi7Om/xHQixi7lxzCG9
R6cQ/yHIXPEhpu2dvR9Ekf6uuMhg7nJ9tm7N0QBYRC45av40V9j+OY7ZWIeiKLRzGIZadVRqBbMU
QU/3Qxv3dkgvz8CUCJvsQt8buZeJvYaD3HCbIYZov7GnYDiUcYPSTTlVlbbP03TYOASv3kxczADm
QMvyra+f/Dxp6lk1IuWEFnkYQDvr+gPaOunjkMw9BWvJTotnTfWjpMRcpsu2koPrW40UjrIuhQCw
71f1jWgwRMizLUGWRYijM7fidi7c+t4tm/6tmQXqzwngHfVzb8tU9/pksgB74DtPcBD3S9SgPWiI
JNlqfNaUzD3YTQF0Jqm3NLyvPzDPbi5rrGw48mGmXm4rK3UrW2vs+BzPtnFvFUMyyCamnh7hwzWV
D3cDaxZrnpwKt0jyh11lZ4AYX756rsbKS5BuD4cICCJ29yJDyY0Q4EughGdPsQPVT3tF32foUm/B
Na6uONwcQEHLpxkqAVTHLkcLmSe2rXqOz0afuu8pm7He29jVj23fzlv8KnkMXBwTBKNgIvk78L/R
+rsMVsEAdoTRxWdl1H5g0mf45qTdDZ5yPyv1t5c/4NrAXG4wpCApkV315Wtv7kqltKNzqQf1oc0C
+8zdUt0GAE+PL4e69j+jBizhVVKwExCAtyiQBSWiiXmbxWfbKZPY1yvKsf0cTqE/dbMN3tNOcBfn
dTX7AXBiZedOQfBNTLHybUh19xHMr/u9G4BQ+ToEchQN8zrwi9bJX1to4IfSjAetwFmN1NLihwJC
1/MRU7xz3/Tazq65mfrWTXejO26J86wsYFuaMzDRdP/BHF7OdT0OET0btpGbIDWIuQp9Lm0INrbJ
yiyj9oVtuTT8k6ifyyio+5nuHKbJGe51dMhChbEYanKY03KLgHEdioqRdBfi8OHcXdKzcrsK59qN
9FPWpunvmUthwTNE8jms6Wm/vKCukiPJpkRMA6V40hV1Gaog5xQIqOgno7Y+5XX4RnTxA7fS92oq
7ppavHqr4A+uy1YdMwZ6f3EGqDEFaygkGp7orXsOOgxWEksXbzIEfvcvj2zlIzJVAJXIWViAS4Zl
DRAygmuhndTC+TS76XwDiD/1NaWNtnKSq7OGFwmUfyngInke8pc8y446mHQQ4jXtlE25gTWv6Ha2
sNWT64A7e3lQ18caoZBpRq6YKeO5dRmqqKdssF0kgMuwb3cdjCMtS3+4ibKvaWxsBLveVwTjWoCp
jJMFucBlMNsIdZVUTz81HOb3atwnb1t104N6NQoVBJRppG/XEp6sAT8WEKi0U9vY012cqPZBjZKt
Z/h1CvvEcyCBdSQbmlfd5WAQ6MaOFzsRHARFdRiTwnzTOc24g4tNVdKqg/xWidv0a6112aNoTJx7
+9w59KJ8tZ/u0y+RSm2SMX1V0oncECafcDT0Jwdnpw0a+avliWMmXq+lRyhSN3IZGl0UvhcrszHM
QolB5ZzcqLZu46pIzsVUv1pAWkaRLzhpgU22uIwSe27qJZaG4bE23DSF2R2Duao3njraVbYktYdB
U0NgBppCS/RyBqOgGt0wSjkVLQx/RgNOmo/kULgjgR93plZBX1aMliTf6z9EJYreu9mx8re1N4Yn
DKUavwwV2gxpVb1FSa9/M4Vjte9zuIW+QWXogNGUl2/soetTyJJmhXQcKAOifrn80W6jxEltoseY
hN5tju6I346e+yaaxauFE7mWQOsAgYOVSoq1uHGVcQyczhyhj6NBfdDc1tpp7rTlQnu9XSUyiMWE
sBlltCWsHWytSgXfm055mA2+E7fCz/JpS3J/LQodIVkNoSNlLylRIspn5O+jGeJVNOyoYuh70bqv
rppBj0OfCU1djWsQfOjlilKE4nq45o4wWUzj1g0K+w+zw8WjcMv4Wz3PKJlEXvE1K1v98PI5/gRK
/N/8FJSaLE7ThJFNddjKT1jPZ3fGnCiTPVNcOZXVoCJ27U9B0wX53mqTcTyAP5HpRZS6BWvaMU5Y
Yif9SSRUKhFD0+omOno1XbWHsbDUJD61RpLp08EWiq73X7oI8qPl10yW9quORTNrlMHduAj9WaFE
uht0BJjcvYr4Uv5JgVvv7OrMQspeV3BQvkFyex7PYd/N3kn09ZgeeQebP8YgIl/5nMkKgfNZBWyn
lker67ukOZV5MAg2YFbYk4EKTZxyx1e1ZQfHsMuDehclPHXSyI8dm3IasDxFbaDSu0XaUaEESqnD
H7ybggra5+SH8zD1xUNBXUURcHvRDkh8w27T362gmZJTS9JZHEQSJdVuyAyrVe5jKxp+jGVs5rsp
10WFy29gv84TVGpckL8gzy2bWZypS/xKiHgB9l80ZINi9vZ20BZvUjeO75VpKrdSfVk1fbZE/oxF
d0EiW0kqlvjMJsTgJxsBTTo2Rh7IfIgvnh3Vb+LQQoKy02j57ypkYR5UVHV+BKmJqlVFHrTFv77c
i09jJtuVy5SFiqrn4lwJq2bko4IyCLopfD/MiJhihf6q58KfQVAHQCKYnjyDXWTXqVvrY2zYNO40
FBl9RQTx+360qk94+8x/vLz51gbEYxsxEZoOPE4WA1JQH8O2R3Ygued3GGrr9r6uPKXYb8S5zNb+
HBQpFOwfXMJN+oSX5wtISWRLlF6cQi9LPiaDaof+mDvRm7IvKUHVXTn9hgZ1a/nUzJy3wzR4qY9D
QNW8CawoD30r8vBmr/U0/CycGMqWl1fV/ZjM4+hzzbKNCs8ZsD2aR+U7qpPBpznOundBFlo8eBHS
x/AsKeEcenUp3LNICtiPWVSPX5w6nN5bNdJEmHYHnp/OY6PunQHneb+oRHRXNmGT7BCpMWw/Dvva
OnSVpn1HD2McMP5Syt9gGtbGsa51aqcuTwcVGchG/K5D03NuUh5LbxWFlvvWR73eFUguyEwRPpuh
XkkhFMCQsobOqzJ6oF3SQHtHvXH+/PLUXVae/py551HkEnp2PCd41+lFSieMlADRoMlyd2Xe6cce
FamDm7QZkxWJT3ypLTT7ZZbzV2SWC4mUTFSXa0aQTjRhBnAyIHU7G201HgJO652G/8CD22jTudLC
+JMb6v27sNfYKy+PfDU+FEUe02CZr+5EYYaDUmngRYsmomA65Mn3SEnHXS6U7E40eoSmozm9a5Xe
+xKLWtuAhFzvTaQI5cFKQmnBWVy8OTpeqdyLsoEfpO6NbfTzPWILW0faU0p6ebZSQ+Z5TSqD9gBN
kMv5bbwsbfoMbSSuuK7yOyXyor2KU7EFJ0pzRnQPk9zbIZeDlJQ22RTdbC9PGrASifjpQAL/HHWG
EvpV0FTeoeqr9m6wRjRCHRiH7/Uq7H6I0EXBSvFK/bbUBtfZI2WAGJp0YPjD0Kb5S2rqYw4zglzB
bxxnFLsoq9SYC82ktDP3dRwcW4QD3ogq1eObvsFvg29vZ+eqqdrPI/WorR6pHPfiuyBrA8pLKrUA
KlucWHxqt8hjFIKCvi9Rj80c/FC7T66hbDHrrs9GKjXy9EWzmgbQ0qEcmFWNEYDUqzZnSwO7Nilv
y8IsTpUIhG/gMbillbs2NrrI4OUo/tHdXoxNSwd3HgOO/akMs8OcxJ+8WsE5Uo/6jdNjZRFrvOvU
J440BmCLpH+kHNlpqVme4H6Xh34w1aMq+q2uzPUZhaQ++MUnZBE7dtF11Wfhzl1kCKDqwTeylX5n
wiDmvFZ3TVHrO71U3k+VefPy+bAybyh3sjV5vVIYX9qullFRtkaOcBUYmJn31/DHaIRf4qL4NbfB
7y/HWvmOHIF07jgQKJNffccEiZW0EPWpwHR7F1Jk3eem99c1/V8/xv8T/irf/7m8m//5b/77D+Sr
6jjEr+Xyv/7Pu/hHXTblH+1/y3/tP//Y4p+6F7+Kj23961f77lEs/8mLf5G//6/4+8f28eK/HIo2
bqcP3a96evjVdFn7FIRfKv/J/98//Mevp7/l0yR+/fufjz/zuNjHTVvHP9p//vVHNz///U/uRwoM
HKH/9TzGX//A3WPOv3uHX3X0j49d/tjWj6v/7q/Hpv33Pykr/0tqtcqiJFP/RAoZfsk/8Zx/QdTA
LYTuwRMQqpB/5b//af5LIt6Ai0qpKSCqBrugKTv5R4r6L949BspaFLDZ/biqef/8fz/xYsL+dwL/
gQHg+zJGcYYfI2+F/z22eEjRwrB5Jko9Ev6y5dPXmBGStDDWOCZ50d+iDujeFFyd3/rKETdQNIND
bnTDO9vq3A+IJAJPQOoPxKaX7qfY1X4++4J//bznP+dyi8hfQ6EC/juVaICGHDmXl0uIYpLX21pw
dLUwfO+NWvkNJGd0F6hJ9NMY2vZVx82f8SSOX1r6gkxY1l9qB9lJE5oTT8WquylTazr2XF/+y6O6
3IzXUeSon6VE/ViXdtfVwRG6cP7BVZFFQ2RU/e11USjNUVpgHFQWeAYsIW/IZcSuMK3h2CRDdIob
8dU2RmOjKLMcigzC2uOVylKRNp6XQ6mVEHlMKx2PEEuq73ngBJ/4n7ZK68tlQBQEXdgsUiCd/SPv
o2cfjM5hU+LENRwnJ4v9cR7vkkn8DPL5DydSNyhbTw/P5zvgKRiLTVoEgFlZDkmbzArn5XA41gXI
KTrDGEHu0jwp57tR78yZ14ChR340ocK0F6LJy3OYJxA+Sm9WG14lffUuRiwe2kfiBelNORn6l7CP
YMqVRYZzZqCQI/liLLOvbOkQ4nHfdcVdaHjJAf7zeAR8K76ILjd0JNrLCqO8IvAarKzCKfft2jLz
w1jO2aM5muG3wU7Kh7Sog+kwQmT4FI8okR2MHiM9o5hRgNLMZgz8cory1q8NS3xMByu5C9PQN9up
/C3ToqjZN26lpzcpCA9xo4jI++SFg1a8C9rMTe+jISvGN0kbzwVlHJe/DaxJZNNO9Ya9lRZDtJ/V
oIvvbF434ZGcM7fpolf1DxrRghoG91LvV+GUPCAWlTW7KskajtD/nLUrJ8VlSiJRwbLzwqRxFMpO
mXG5RMJm6gCDmdNxcs3sYIRBsuti09vBqd2qOF2veR7VaJmiwSf1sJfqeKJyFA0ZueHolcV4QjZM
31dWbG0cEteUfInaJy3hIJI0zKURqF6aSSg6oz82TvJ7Thnppz40+dEOeazF0wyAFUOUt01bgmfV
R/2+UNHG2fgR11+Vepp0WuYBw69YligHx+jSUFT9MRvjzA8Tr/st6vHNbe0gfi1CF1E33qC0R2Dn
M9xFTpnaeKzmaJgfbRN9PLVM3P0celu2eCsDQk1aPsikzwkstMtlYhq1UiQVA5IakX5izfrDPCeG
ryeVvkEGWA/FZc3JSNlVXtrPDy3Kjk0bioZQSZ898BDtfaPvim8qUKP9axc/304im7m6gQQsmxPg
CZGOjUV/rJqYAqI95V8FSg/sRy3fQmPJE/3yeJSxyEYoY5GZL69IdUzcwKNUiXC/d4i1+Nil7kev
De6tSC99JzO3WEZr3/HpHKbGxEGx9HUAs9tNni0Dlmq45ybIDgX68OfC1Ldkrq9DwV9B/wJWHTca
b6nLKYMFTK9W0/tjGwWJ72YVNOf/y955LMmNZGv6Va7NHmVwaGyBUBmZSZmUGxiLLEJr6Xj6+ZCs
e5uBiEkYZzdms+nuRTM9HHC4H//PL8wIm+1qmg8vv7LnlXb5HJdO3cITh7PHvrUay23sPqrqSTuo
7WwrHoSROvWybCZNZQKFrT21x57V49QtdQ9OYfxKCfoGo5HSHN9xsLjhPkFPN3hVWG2dgdfPgd9G
eA1c1CXYaf0tzp1hKBr5OAfcnEXoBco8e47survIHoeNtXu9m6IaWm522GOg3l0L2q0pC7uxUPWD
3Tman+uZ8FQl2hLR3poRc1ni8DgkeMOXb7Zos4z2UaUdXNk8uX3WnCLOYo9eU3h8+cXemg+4NhsM
LUm8x1fvVZpdVDVTpx0mkfVvMqs1fSyi/jgEFlEJ924+Ym1RM6z9WgRwvmKiTTtwEhZ+WJnQDtAk
vf3DuVB1kXzHVEho06w14zqN2EPTOdcOZatMezmrpmcHzhY37eqJseMD0hEtuRzGV429QRuC2G5J
Zi7wVfI7Y5z8EeHRBhx2bW9Fn5+CmBYVggZU4ssS+a2IzDrhRkmhToe2TbvBV0QnHM9SO7XwgeaG
9I5uYDt6CXY+aLeUgq6LFoXDq04zCov0NK0XXkfvKPC5m431rk7h+23sCleb68JFeD6b8F6Ahb4q
p4eqa4IhzfiNRv4ABQwfCdN6zFzxZiyyfme5ZBC+/Ip/eSJebESMCbcP3tySZnqVm6PBPiWzWJsP
M4SsdJfqYsLCPnUJQcKZV1g+1yx8S6e2U0xC+ag095kq2uhIB9l4V3A76w9FR6KtV8BweBfmGl52
kRq06kHmkvww4juUwHMKNN++m4xT7rmhbc2eEtky3zk10HppNnLYBVNazTuQ0Fj1YKPJ1zF2NO3O
xJLyfViSW+SH0hgGnFtJ0qoqZbgLOo2k4MSKCElQBlS86jQ3TymlxIccRCzdEQ2f+Kra2j+aLJYu
fPN+eBX3hap6kKkbxavMqpJ3nCzJYZCdHZ/KJDf3ltI45s6YpgFOGOFIH/i/ObEfiqIE0NSSvPfQ
dEy1PwVu9OTIVks9LeiAcZS8rT7mI//Sn7K2VgmHi/Mv6oR4/1BUrR15WG7pw66ytTjyNBQb4Skb
jDDdaRXl8zG3lSjEW79131dqDic1NozyybCGajEAywqdBoHufm4bxXlyYjUIvbYdTMBXc6ZbZ0hp
euE4lYWfi7j4kCkTrjXmbOTWvrYmmXpwyaDSpn2UG/RGpVLw3LgR+xA41J9lANLoBWUpfpIkq36V
Y1g0j1VJGN++7GRS7MgupR/IFyHlnSLHSVBlkwJyMAJaGI96hmgCR4lhAlJVoD2avQjmXR4FRuiX
TltwqiWFFe+4elut3+CD+0aB32gfFP7h+yGlHCbVobETH0qw3vvaKEVyKKdu+NhUoin3ndtHli9m
ZWg8NXCx7gjmisiFoS3b9DAmGmusrKxmfiVEqNxNOdYCXpxqmrNTylxdnnjWvS2HuM69ai4a5XXd
ANF73OyG9j5RA7N47QZBW53F4OYfa6fBrz5KrTE+Clko4WNNNvShcN00fWKBEas4mWj/7+Ui/bzH
rG9608yOxZWt6e3409gvP66EUFwh5ijMV+owuBP00LlsPIANt/dHXczaDgeZUe60EgKu5wplPsrR
Ep0/SZKY9jOsaWdnT3kHS1hL4mpXpU7+nq1hTjxpNNbrLAy1L7VWtI+2U1q5V8uqqP2qy4bU47rU
7jozdj/KHCu0ndni5edZSqIOfji65afJcpXpAIJdflfnUfcAh4xHE9v47zn9sdkbRzt8FTUID2lf
cR3YyRoxWIvKE0PAOhqrE+w95W9V4SPxW3uoD84YuONeKwNR+7R4rObYhGBbu1qonfWoauPwGUaX
k3lVGpO0MlaNUe4iNBsKMRVGkfp2OdghBrH4ouxomEIXV+icfOnwjK+Jl0Zz/jASLUbwcl3Mf3f0
BGOPz99Q9pVRG+/pt5vfoz6QwncMGUw+VvlTfJTkl2e7UFid4mEv5WT71BGt8FpJ5xnHcWH6MEYp
C5JQtq1nRXr2PppS0e0LTdTuTsSxcT/jG17tuWlr6R6ZVx/sZKV1yrnPFfcpaZrU3o+gpsGdFU6Q
hMg5K3iPUSXnfagMSLFwM6QzOOHfHPrZhIJ7N7IVfFDqtEve9AN3Fk+fMeDaIefoxFsx22O4wx5c
SfyIDM83CIPYOey6yP4m8CrWiTgJR/q8zdi8BSJQfswtf2oP45kO0yCnxbGhq5K7ps9KSU/UbV51
1VyXvpvNgbMLsL3RfR6W9bGdakvcB5RkjSfqoDB2nU1QkcjLLj+7ArXrXWyPevRKmomYDrwR5U42
XZx6DZzRO1uB23R2yw4/ikRvxUe3iMzXUzsqbLZpXj5ltZuaHudzGGEx3EyPCczGt7E7R2dDTxXo
L2HZQ//XZQDF1QoskothVVremDCBXVro4rMb2eEW63UFeuLFALMRhTz2UEvBy8X+sjRAqB2ooyBU
vrNLZd/ktYOGuApObArDW7frtde5abyzrck4mX2V+n05sc0Uff2gDbq5ISq6LFV//RiyOazFImUh
Qa/ujfgTj9KYx+HQuKI4hNiy++NQxw/ombeM424PBUy4tH8Xz8/LeWOoCw3FkMNh7HRoYHr7uhTd
8K6f/4z/+GtOwNdLjwUOHfr7y4HCFt/RtHWYUxfbVHdJ5+VSr/yXa5l1G2d5jeCcKFmAEYhrWZXe
ERpf9NiM0nZGeB9OhokcXW99KNWWn7Vu8NbClvm+U/v3Lw+8vJL/lFDP06MJCnLOEoIpv77L1YiK
Ew1x4iEUunI00YTVGPVU6lG1pmaXJLV6CjpVHELYUzsrM7bUzTfeo4mRHWsGLtkiX7p8vDUeQWzU
jN9Rt3rqmKbkGxXynBd89y9PdVVG/ztXWufU0dAuYTpfjlUpRqPT1gSLpTN2CALNPSpFMxx1I2x3
gFN0ssQs7xevw8X3xgYjQEUlyVD2TDGVpz6P20Mxp/bTyz/s8hbx63dBG+ZGvfRIkABe/q4oJfAI
80CeQVeI/Rw6pTcMxVbcx/PVd/2qn69ddEhoFKypRIJaACpZPx6MBsZSEaTqK0ONSj+Z22CXjjpi
pqy1jlQF0CdbDAhCV0u4qTfdu5fne4mJ/zvf5cZE9S4WW4vL+ZLJgc94XowHGy6Zl7mOcl9nqeBE
xExjqBS58XHdWmM0rNgmTXij3BYuxwsbRaajjEGn46TauWFKRqooK793iy2A9Xoo5IU4sXDvRIjL
mJdDtfOM1ajQmZo5zq/1LHU/5GWW7hNXa7cC4G6P5WISS67Zkgd4OZYpSpngYjweEqPu/LpV7NHT
Ce19CO1uq5n9LAG4XDxM7NkmHt4nE1x+zG9X0LHrVRFmkTwoba+XXqnn6nehxfrkuVFU2V5JTFmF
fq3W73t76iM/6avySTelq58gRoTUGqljvVHnwI059tGAmIUwCXJV3HmhPORK5jlmkZvEw2R5xOGh
ivdNIa3w9eTWZFy8vASvPzlaHIAcCDkAI+gEXU7HKHOr0qU9HgIzS986Gd4XkeuOG3y2m6Pg5KsB
/rHa16NkRq40WMiNSBPz/gyxTSOyyP2zxNXlc2IuiKmWs4Om/NouJ7XDwTLnZDrM0v0JISzzXWNK
NrAh7fJ+/zwKwKKLDTuCHh019OUTaziJKpoH8uCOvFqvjixjPxBgVXkkL83Esekt6D5kOmvyxtRA
3VhHBSkJhhqkxHNXetgckSVZxlFNk+pxSPOuxsLALH1ljvRdZkTBQXGt8YEgncj2ehqMrC2DQBnu
hnkhPTnkQrDM2/gdZirG5IUV1fgjSCT35JdXx40vC+fbxZcP5IhWiXY512Getaip9OlAjuEnOSOw
MKLxSxLrW2q4GwsEBiKe5ZBgoAauCyZ9VKvMcIKJ5V5yoc/b1M+DaWuU6/12kbETMAxhDhBlPZ1R
1JPVpo08jMt318zlGS+JexpNs4fCfaMGvLFOKGa4cCy0Ne6/q0M2RO9VYVUsD3zR2DD3jlZ4raPP
e9OUyX2K1cIB1lX85fmN/X/6xv8CLVpIEouo+3+aigtJ5ILA4X0r8JRTvH+yuOuL8L/u2uxb8aP9
ncrx29/5bzKH8xdZABCUsHUDvVxKr19kDjDNvxYrRReGOe8QUO9//de/fA5F/EVUGNaYLkp6/ge7
2n8IHfpf+iKJA+CEII0ZI1T6P+BzrBcSzCKYh9wiKIww11mXxEXTGU4iix77YBtf7cCR4JZF/D6c
NELhTP2rilzM3cAU1x/k86DYwi3W62ysa2E5GQmpY1cMOmjcrmtrFicrzPTdby9ns+O70DvBIfAL
hHlAKwrizOX+oiwZtK1QkU8Iq8ByLFb8bNaFZ039Fslx/e0v3S7QdvYW7ob89+qgg8pTqbVQ1GPQ
DaMfBXG8q3KnvesU+b0ek3rj6796frRcWRgqdxnspYiNupxZClermGhjHMOmnnZdWIOoUHJuvCVS
Zvk7v5cjCCeeKeIcRxCS8CW4HMeWUWlhR24dMzgohzrv04igwEbFxzSAaglWkwZeQqZOsTMAD39E
NE+/xFaUdcCzehF7kZbmOCUWAfc5ak/XACCqRPpAkESSnfteb/QHbaz6ad9XvbQOuiLi8q2pt5h0
QVo1e3/CyGH24q5xKj9szeQTOqPM2i867WGvNp1UPtndXP0Tg/+KnTG6kXbKiGa576VQ32C5nL3B
fdthYxywbtw1AHuvrTRKv2R8f19Dw2wsT4U4/jmjevpqjoP2k0Td9itvPH7TDYpeeBKx9uQB4UrL
M8qwA4EOksg8K2OZPxHFUGu+G8/2x3IkMdObO1t8apwRWNGd9LG6k51TvHftKfnRORWKuxnwIvGK
ZC5e5Smp0F6XO5iIj8bstru5Kn7MSAwo6dA4j9HwebDGqvLS3iTEsTDS8itge116cwsjlq6nlfqY
nZXKPfxkHtFkacGT1tmFfcbzXT3nbpWTvloOCb7gGU4ZvmvKzFMHes97Yxqa13qgmZ/DQmnKXZm3
3Uc9aw2grQ7IaDc6Rvcu6TUBz8PMHhzSIMOduRglgdMPhXLU61pPXo2Vio0QyH15HlMZd560EYDn
5RwdrV79jkNOlPpGVuVPc9ZbXxJ3NIRnxGH81c4HV0OsXAX1zq2smvjHypi+RqD4XyXuDY0HZyN4
3WpZROMlUxsPL+t4r5TjFPod7qa6V2i1iP08MrQ7EFFYZpPSmJ/NiC6t11LRufAFUPLvdQQeYmen
7g+r0OMn3YAwbIJW0cowI9wENUWxvkh1kuPJIRj0XqbViCNz4k4/gyzSPujuPKt3MSC8PClWX70C
H0wtH5VI9SFUacfGWRy/6WunV3Z1EsSW12GG0Xp1E+UVycK1/URHd/Jxaw2d3ZiBH3kYTiUO+max
tAtKver8xHWiN0aQwsjVkO6Uflbakt7KHMyv4D+PWyTkW184HUAo4Dq3VZx4Lr/wqRJTm9jCOrZu
W+2sToSgfgC2L+/Ey0673kdorS7ABwxEkJDLUZq+DiJ2R+sIqFe/b0pn8JSWnjZhzMYuabBbp9Wd
PVChij0B1sn+5eHXheayjYEsLeYSiKGvfEwSN5JKVRrWUe+d4DRapTjmaZmBfRZbNhM3nyfXbTIb
lgystfQ1MowBaIkdMxTR8FBouXLWB1XdmNDVccOEiBomYdamB8+F5PJ5yiqjn5UG1lFry+9Z6EyH
YbKyfQ7McyhaObx7+fndHI7uO7I9LKesta/ilELrrArHOo5J1vm2o1T7mp3tXAKk+ONsbrGtr94X
4ByVD4eOQM55dXBnk1X3Mk+sY5DEBtQGgJPC6LrTpKbGxkl6YyjUH0v/enEGv3qS5BiNRgDR+Ugi
8LjnKit9EQeW76p9s3GcXg+1+C7hhwbFAChujSGnMP7MoqrJAYaofBBuZe+ptGx6Usq4sT5uDWWA
Hyz8GwDrtav8EAx10QstPKVG+yV10pHmrFT2Dlju8eWlcbXe+TeLrkPQG2Z1rNGRSClkpccyPIVG
Q7/OJPjacMdwYz5XC5BRWH8mjkg4QV4twATndFoYIjxVZXlQoIsAh1g/ym54aMtiyx7sxmB4xHMV
QOK7OJOttkRTL5YQmD46RUHveM0cBv4EZeOYjSCUWBMpG5PTrp7hct1nveNftSjz1758vQV1wBKx
cwyk1d4RoWs8GnlfQeTrgrM2q/OpIVfMS9mcscdp6kMXxMpusJt2X5mhc1R6+5+8DYyTJttoZ5FA
uS9LaR5St5/QTVo/tGTsfCsR9QeB0mjvED//WDXlFgn3CvlFKkZFioUREYfg9fbqycG+dqPCmu2j
YeTzY5xP4bkJRP5TlYPt7IFp4p5iSk+ecIWyKdYSLYLYnFYJrSY3Lkdfh/jaHkaMA2OP9n685a99
dQ6xJaPY5vP7ZTa0KtPzIAb2glVxlHHwrZPzUSuUsxmGX8IpxcjZ+qTX9kOub8WTrZxkuIk8C9IX
GJamGtvMalyn1Qu3DEP32JlhfBjcwfiKpFT3+iWYAyLwU9+q4pT3kXsv3Damwzanx1SksW/V5tGY
iYZwR5P8La1T0Qfn5tPLX/EVaP38Aymo6V5yoQR7ujxQonIg1SycXAbNsQoqZw1TGwEaX+4KSiQY
XkGWInA0ubX5eRbUleeg8n9TGoPODaBQ8P18+SetWzXPgRDcOpZLOaolc/lofkNCZ0WrbU1K99hI
xD3AXrWXul3Hm0ufHHDz11ziSj+YzWEDs7z6/HlXOIJBy2TLWZRxlwNz4ym1pO/coxtEzjmdg2nf
IB/c23kUHVW9zTdOoOuvn7hMhAQcC0gRcVK6HA/2Ryxax3SP+FTYD+hoyzsHJsrG47zxbTIMMBtc
HmADRByXw3DQZY4WWjzPuDNOeGtnXmta3V6tdcghYZL4ySDTR2gTxJVhvOgJe4xfyQ6+bRIG5usu
Jv66CaytgunqqOJxoz7gu1gETlfM/ckMEThNYXDMeiX2NaFW967d17skq/8shOfXVwiOT+t00cFw
Al8+AsNNlR7efXCEkBE9FFOY+xZY4NFMyy3t+q2X6uKayRPHy+VKllK0TVDguBwc8d+S+xiqzKlX
Est/+Ru5tVR/H2UFcMAirIkqK4LjaMfF62I2y3PFPejQ4dz56FIVb5xUy/59UcYv74ruBC3Mpcdj
rNYQHDF3orp1j6qw+jtrdr6l9TDR525pKslzUoJYvzzDG6sDTzEatpjWIjhar1od/9FSEXlwxA0q
hHlXdwdHbSDcTO789uWhbmw4dAcZDb/axb5ytTqyOgBpS6rgqARteESnLf0MKaavlOAPbq5/0WIX
cwaSITbe4s05gmXgNEQS+JV75djhYJjofbCYdH+QxaQeZzuB/OMW2cY17MaqpDOJIgEtvkaywPJL
fttTDSUlMkpMwRH9eeP1mqLvVZTth5cf5K3DBNrpUjvpaP4pBC6HyRrLkiFnwrGex+aeXnd8yFW8
f+cgLl8npPvsp0gU9yCD2R49ifZPlLUTgnnMsF/+JTfWKzYKgKjIm9GJrRF5ipWxgGISngodNwCl
MIZdlGjYVCb5eJ8oFaLjvi025EE31hGVD4gtRfGSfL4qgnBYmnn4XXTqC0297wLp3DXgJiAAg3ty
Mqv7Wtpdv4P9v8luWL6/1fe56Nif5/zshnr54BsOdnVW0ugkMlh4Xu7MhfQpJ/uT1kRG5U2wFr8H
5WQQcm1kbup3QZ8f1KIyCa4DImLnddzwpKdAR14b6F26tOtcwVpEMeBjJjI9KE3Sfq2jMpm9ole+
G6G0qkOM+Bg5VDYUwquCNn8d1LH7s82n3DzEpQXSBzBeeygUofcUDdlhfmHbHe8E5vPHkvf0TS/h
luINRYQkOXrqPkmdfjgNVh98C5Qp6vZ95mqjZ8ABoy8aReLzEMqu2rWJFiZeF2UqHiXkzs5+pWrY
c2n4PZ5saKT0RRIr+BHivZciyCH0szHM4ifOvOmZg71/yJO0ewwbNQPUwpO78MIuU/AxdLR4JxN9
pnTuyvCoz3rZ+K0U2RkbFTPe6UKhxe3mWfsV82W19i1ZJ6qv93Xeeg4zS/ZjGsg7sx0MrB7HEZsZ
vZt4AqM+tj3UujD5/Fx5+aRlv49V+uQ86XhawjAGNfdprW6KM25sAZAfUP0LFzENcMxqiczVZCCd
j8ikisp3BBwmB9dRt6qNm6PQVeDmia8pYTqXo/SDXULBA8Gsysjcy7DN/XoO1Y3DYWOUdd83t0Mw
5l5Ep0Ak39AETbsqqZrdy3vIjd0ZketCfcK1CKnkaiq5tJsIPIfPOR3GvYO3Lf2DXOwj0l035nNj
u0Lvsbi/cN4txjeXT60pUBbmGX6TRDVlrF33Zyyy77NUch/BQw6pVt1yob+eHQAzRfbyH4Abz1fT
306EAll9FltafEqiMN7bUEb2weTC9ZynrZieW0NReeImBkmEtsKyb/42VJZkC6HTxYA1aXV/wk1n
D8vbfNsZxtZF9Hph0BYxAceoq5G3rlU6SYCxPrkfySmC0uhRzNSe6GEo/+nKYBTY8A6O+nRi15S1
ugMB12PckYMiDll6UHUR4XyCXNX/OlH/qO36/5oe/t9G6PLp/58bqr8U8Y/fsj7tb3RRl3/8bxdV
c/+CT0URyG3w2Unof7qomkGvdHGr401T0y60o3+7qNpfvBlammiGfnVf/9ND1f7ijF56qNyEloQM
Stk/6KGuLlf8iQX9srikYvCJlcdaBuMmWVSYOu0PvIXGe6sRRKSXmnE/dYB8pBYLfxp75VExaueu
nGN5j1rT2Amb3pimKelpytOfoWUM3397mG9+nfy/i+OXDeM/9cDzz9ItrpQUfWgzcem9/OSUrB6k
1TjZmf0EBnmm6+csnSvEr9P0GEOgPgg7QqLchuMefG3rviUuS6FlfMwDydPAV2tBqdemlnmG36pQ
+vmc2jn+gTGyRvKw24Plps0hisYWC/p2uIMsS8QGPffAN5Mw2fdTUB+qYCzuswrIrachsS9yBMLc
bps7Uhzzu9mMwz/LA/z1Y1HtLoI2bv1rGzyMx9MYdu98bhIUyVWsTLCpXWdHjHy8sXOsKuRfD2YR
0METYeMAQL18MZ2BQUomo/kcBlYEChxb8CTj9n3WZpDA2fW9OJbJK1HDep94JE/8ifERhe20AXZc
Hjn//hCuqMsLglG8PqjjbkItqdjyHOjyo1Jhw2MiJDkW9eJw7wSCIn3cav5fj0nDDR7sokuDrWWt
Ju/GxUg88jScXaVP3xhJsfTmNcxcgf3e6m2rfQmxk9sQd12ePstEGXTxiaHFxSm+RsRdNL2lGWrD
WQ8G1YtrWZ6ypoPP3QOvvvzVXZ4+v4ZayqtFQ7bAjKuvzm3nuJ7jdjjbSp+fqOr6A16YW6LX50Ps
8uNeBqAJZCwh9lBCLtdQNSmTrtDzPg9aoNynTiTu1CYuuUdN4Q4Pe/nQWX16P2i5OFpyinfLm/3W
leqw6+m5fCJExDmavSH9YahaMKew2KkOfUxn0KJD1kegfnMWBZ9efjo3XgQwDzbhKMafr2aXP9su
Ii6gTiXOqCZMbJoc2w8bKN89sXAb9dSNF8EK40rNKwdOXFNbmjwHO89jcdbBCncSwuMh6vQt4ej1
KIttPlDP85xASC4nZGqVJA9SV89g3Na+oe/ndZXsdy8/tpujgB5z/lGHIrm8HCWKAcbS0FHPdoqa
TtbmDH+82ZJuL5Sj1YnBo+IMXZiHKEevtKnzjAv+MKlnK+5NGAMymP/OhzhhaVXK68ha/JbjAXeg
0yDC2tyHvTXu67FxH223LLH1BN7YW51q/JMWBVdQUahjt1PmuDuHZW7QrQ8hJHotsBXmrJTUqN2c
rkq9YlCnh3bopO41SHyB/yntP/eTofZ7YmG6c1VUvXMKU+QVuxwTeNdr1InbnpCa4vgQiuxpX2Ty
Q1XpbeSpeY2s1p3HCOkhLZzxUBcyvBtiGUs/b8ZJ39cGliG+YrXZwSzm8kNDpk/jJS1MR99sK3fL
7O3Wo12caWFbLWrZtXN6MmlNMw2tPM+B+K4nVf+kYZN8nwhsAnsuhx+N2Oz8l1fNJUC4bEXYnmJN
hvJ/Ibyvz5kQB/esk70824FScNGHYMLdAn+9UEIdBpm5e3m8G3OkjYo3DoUVfZa1zACjw2BxFZJn
YZQjVI5RvoX8ILzRLFN/WMRweOqmG5O88WnQC2cvRJlPG/cK1aq02M7bRJ7VlkcpJSQSe3C2+hHX
+xblHSRSaOc0I5nd5QcYZzLEXV9O565s6pNsmuAprvLIL2W3FT1+/RSRhfPmuA8BUmNJejmUaeCa
WSZBfZ4qN/QR5maHDBWdP9pm+ggfRb+nTFY23DWu50cNQb9lcdfQMdHULgd1Ie7DUdKbc2vXkpAg
enLdYBKlWjl/BLQui5JuBt0VxoJPj+T+ciTi2yMaLE191rQpML00zEHHlGZQag/dYZkfzKoZJD6B
CZpd0PXE3Vgw118FIhjACTpxxrMc5PIHlKR24b/b1+c4VqHUx8Qy4k/Z7VtF2Ic8doP/i/EAW+j8
A0MuF/zL8ULHUIwIyem5KZT81NqZe+pEQR+tzwd/6NU/Y90vD5j7DuUOOALSj2fG6e83bUtW5ojU
MT9Ho5vDYS2NRVj49PKnfv0QGYTX92zqtOAVl5Ma4fUZSCvzc2DL1ouKWrzGEcjeSQqxO5bAn1Ea
fk1qccPgkoc9A8jV5XhK1sfq4Cj5WeumfjFvNL2sCcJdARa4f3lq158CjiwsUKJYAHJpA14OlS7B
Q2Mw5ufeMv/R50Y7hTW8t7DqttgTNy4CVKTETkCChQiMfuFyKFdqZYa3en0egez+tuUQ6TTBiwpJ
cIa1FFhtAbiZl4sBTQmkue9ZQn9zj0y/wqjaRAevdx7WJ5/k8o3ykNd3IAB6WHGmWZ11WHenzlbx
A1cRByMAjQ9hUsVfCxxYdi8/7lsPYbl28XVAaMLmQ798CKFZqsDWRXUezag+RaPs8B+s5leZtOJP
7pSVRyBrFTKVYRKWU3d3YVO095jJb5kr3FjTlDyLZcbSjkEndvlDhmmEEUJa27nKFFJbDS3zakd8
DFCxYilWHTbmvbzcywqeSwLGa8uLB7tbY7FWPBqVTilz5pI+frT0kaOxgib+I6SiKr1cKQCji7Gq
3urB7H40ceB+lScU5hsv4Ma0DZjp7Bisxeubr9O3s1tl8Xgedbv3Rs2s7tWwxkcg6pNH26p+vjzv
G8MtRDxuYqSS0Exc7f9oV/Hnp/NwjuzSPQgLw7PIrMxjlxX9Xdrn4ZuXx1t2otVjfj6wqc/ZgiGo
XL5Vo4jhMPfhcAZscLwQZu3ZrMJ24/y88eksfhxL1hJgCzS5y1HoNJW6NnHrm5IhPES5294Ntv2k
tGJfyvA+EP1WRbL2/1r2eYoE9kO6lXw6a+/DxHBiLVbS4WwlcY20EKHJItH11RmrDGNOLbqYdrkb
2rZ9DE0VjluQbrmDXL1MFg5YNdaTABk6MoLLaRdqnFgxEWF8Mk15n/Rz6aUtDj0BJ/Cxqe0vf/gu
GY6+Akg1Mjk8DVbDhdKJuyJShnMoR+ckkyQnlS7aYoBdrZjla9DQ10BKQIOxhqpzTYfyrcjh7MAS
3XW5MXiGO5cbZcHVinkeBQEEZBPot2s6AmELdl86YjgLPTSgVs5Y8UeLGbVdJ69ro/5IWoqxcbRd
77VLoh9NZi55kC34Hi7fVxIptKfSZjx3Oi3g0KzEHj2n9lYM0VB4fZAkR5hxKrdlLJID121eN+Go
/hPJSG7JC24sHfqykAbhHNEmfkYPf2sIdIYyxngTjWhkC9eTdelgEDDUXum2zV2NFdOfP2/wJnyX
GHERj64a/CV+7lHXsFQVmWnfarCSV/XU93fBqA1Yk5bxXTHVW+HVV7WEueSnoJzg/ZoWt/fL5933
wdABaE/Umgl+iFUs7yxtep9jAXV4+dO4NRJbKtgW/W7Ap9UpqorcHTodyr+QWezPI7dgzEKyPSG1
W5lZz43ziy2VWRGVTYeFxYAMbVUhJaFOd09kwASy0Uh0iWgoylnTDhECvOOgSv3JSSPtPihNFZcC
RfeUODPeAN3Wfts3YgNxu5z6EmPA0c8dkKTVJVtvHWgQi9Ho9CiKzpiICNyAansZRdtXlfWnmsVf
Q7HtAttiibBWHnezkxthF0ZnogTtoyIMrFSC6FvexfHx5fe52t7/nRUl73KikPezdpFMYzMx3DJn
KDK2vbido08kRBZeDkPbhzspdlMt+3Mwzid62/LkSLf5o6Pzv38C2WHAWtAm16bQ+ZwkzohBzXky
iRDj2qEeO05t7+WZXm63z6NQcuEyw/nMlr4m3BpJFHRKPoaERCn/uDVq+FQLqq3HuTXK6hZWaBP2
14T38Tgt+QUNTnqUc2scUHdHezOAbJAIK7y3Qt061HGn+7Ww0rMM5GdrVN6TEJediXUZd38+90VU
jhCOyxp9xMv9QW1VQladMjonVesesLtiPY1Fs4F+Xx41v54w3Wv6YIRicxVdfa+hCY2vjproLLis
HUjE6Hd19c6sXxnIbQ4ZMoaNV4oG8fei63lEWKS0FYBLyFVZRxIihew74nLiMwnVGMCT8AlfAv08
aF3mjbXoj8hihCcmU+yyCSMZhFbZ21BU8SPpGKlP7kK5Rw7ifshSJTzOo90RVCKGXWwVJtZsOHlZ
PaEZnC+QVLJm9PClVoln1I2vVjylGyTNWx8jAQbEdqICB2ta1znNFM5l5zrxWcbjvCfD2PF7h5zY
IXPzQ68msHdzhFZlGRqP0D0QctFY2NC533qm0Kq4LGJgscScX64VNFp1K9IsOmdSjCecahwP4X4E
K7cM/3woEllx3IMAsNjmrs7KmnjoLolFcrbpuR1Vc/quo5rcV03sbKyUG5Pimr1AhqwWyvNVRVdH
oh97aSfniXCIV2lVqF/jyWm9nIiV/cvf2vMJ/59j63lRIrSlVULtSL92Lc6ZOvZZWSbJ2SmpNKBD
BV303cjV4O9M0ZvyIY+Iqib8NcalyiQrAo1aAKGkjcUSq+nqBbZ/rITMh9ET2t7C4uGHcpf8EI91
8FAYU/2/qTuT5jiVf01/lY7e8w/GBCL6boCqkkqDdWRblr0h7GMfZhJI5k/fD7pDW6W6qvDdtReO
M9hKSHL4De9Qh7FmIORimknzYYT+OQe9agc7nBIaNkHnxGm+neW4yUxN+QHUPorNdjfWQxADl7qH
5/UM3axUgZV7LRZOgKW+6l4Vp5DZVvJBo12qpwSCQpAhniRpZfXZQ1wMXRG1+uYbhM1yoBph76Ve
Y7I8ACXxUn28HmGofl7Lzrr3/Mz+7LVKuZCFfPSq806DZ+Nl1fo1Fj7aU6PS5XNsp91Tp9wC/JcR
wxtoFRio3TJzXQRa208izK3SoZuWr2m7s1J/aoJutMZbf7QopYN27uDsZKZX7BN0rUxC9dX6Yorc
7kMTk+YLl9XreHL7ui/1X2i/NN9o+Gwr7bd4crHAg+jJVB81nLZCZPaWCBgu+meajqBf9afQmS39
IoaGjvJSYT8tOyOBDcgRuPxR1TAXdPBquzgXJe1qjKffX7hvry6G8rZ6MGhKiMYnu7Fau7jtGlEd
RyCH+84pk0Mj65/vD/Liw/J6dwCSpOhBvrOV8E8rbCisiZhecHVcKi/bGQbzN1Gi3Am5RKWRf0g6
FU3FnB9lJY1o1MfsXpqRF4c+9kVhkQ85XcM2vtBSeLEKOX0sUpUNtU7u8uYo6jH5bmetqI92DUQ3
wh6hj6CN1o/xnGFBm6SkifeF0XlZlHTWsEb6XPi3sxyQrCN8zRBrA/n53A1rUh6EU7seyZzZmUFt
NVq6NxDLrX1844N0jmeJtuG8qBBUBgeE9NzGZjPZ1hI0/dQjJGlZ48G0x/Goyz6pIqlZo4gQi4zT
T0a1lne2OSc7v+j1JvDr7fCoJlP+jJehj/cpTRj8NeSo3XUFNuqYxjlOaGJz1AauobpPkAeXWzlv
rr1L7iGUlKi6VqjfxaYdrTYdtUBHxfC5kCmOAGxyVJXSRKsutY3eyNBQjsJJcQPvkdxvmkmvt1LT
TQSkouuOM9oj+xTpQrTuhXaderK/0VpT21mxoCwozSnqV5Hc6mMzQF9qtWPJH7leQNmDk9N0YJvC
Me9n2MZhlzrjHVlKvmugH4eQFctHe0r9z9pUXzrqXxyCX68aGkEbm4XWF5fYKafKMLGGt/JRHWep
nAeHcPkx49e1j/y08zBqdbqbrFUTj4OdEU77tWiJILSk2IMGLfZkySaKP+jpp3x5qxBRAtS9jfrG
XnZrqUOFWW17B1vC5dt5qL6CMCvqX4jhpNYX0aoFTxirA3VjpPCTEZoiabhwKrwN6qiEUBhHQZhs
/s1+9dXo+r2nKFNbsdwleG1cxXq50kystJB+ar1vEKC9EK++mCW+ntgNhEWGCWMDiPNp1SJzRzp8
ZV4fJVN0m494YE5x5SGBaaR3PedFJJY1iVapZUGBucDYFf3DoNoSvUEvuRaGdAPXVPWtplvdXZca
SG4qkV7ql59gj7bbgCrupsMFBIzC30un+7fboOtG01pjTrMpg7u6q7sSVxtTX3Y6Vo10jdGzs8uu
3htzZV+tVEaJOFa6X5Zc9pmvEKglcd47cYZBuxTrfox9ccjZzFdisosLs3ruUzKtKH1TiKXzfnLA
exTPZr9ParBHqx72EyoB7SaGB7nR25llOaE4gFTlhQP/7YXJFLmItHlYNBEXneQegqyxsgUtlW5e
mgOfQ3upGl55Ixp1OEV5OMt1TYg5SPxkI4AIHReoZuVp+MDaTd/tTUzRbpGQL8OegzHyJlkcLjzj
dtKcLDdkLjZSGsc/PZCTmFd2ulGmqG0dUy6kKy3tupBENdv8JdZQOnYXoaJWo4Ao5+y5EPaFysKZ
KbK5FYEObeS9N9Fp0qaNar20OdoLkDXDKJe7qejcG9wV4mCQ66VW4ctVfvq+lFRI98Fng/Y4WQn9
7NqzLuhN2mYyoSScp1YcTo0xoaRK+PPZNuOc9ldSxh8MlDqfctV4DyhiywcNdQeixgaxJqmG9Tva
AsZ3wyjiPlSsub+MOtf/pkiVIkHgKoRirc7TnraWy6XC3kl56GXvgfCinUOtEWGn071XoZ9drINd
Hy0jtw92i35FL635fq3dD21tNFdEcsh6Vv5tY/R/8xpuHxYJqh7DpJoLqe+5L/j7s5wscgfLCMyy
uppTcmLtlB7ok7JCqrWGOQtQ6VJV920+w2oBkgVRD+D8m0RxwRWWU5N3d+za2Ndc6UdTr4aoS2V/
oeXwgjA+XSyk2FRRqRCBpDu5ph26EXkcG4xVFdZula28XUChhkrrp3Bu8vHe8tSwKzsqbpqaVv6b
X4dZ6thRYsXTPeL95b6aph5oSF7uvDXnlqZPJ4MpSY4EFs4dcQpQ9BI5w5X74Kq3MnvXL1g9B4Pw
mgqFurnc1yYi3IWu/dRFWV2P9Zo+1WaDl6wo5qgcrK/YdMR7wT+F9eSNF6bhbXSM3yegPojobH36
IK+DFY0ud2vEbn1sFIpmiB4yFX3m798/ic58V4fPSYXRpttC9fP1KL1mTWnV+vVxVYUPswl2YtLm
zKbtthcOvXNDGZBQ+bKE4QS9r4fiflk1jCHl0UqUdqXXybpjpPU4xP0lytCZ3bFJlpEZUc8E/3ly
vOpLvY6pLeTRRmn7yhEYAHPYTkERc+d4RX2JsnHu1YBHUwp/IbyfYiO7Dnzn2nXN0Zs2KLSo5mhO
iKuGtVAX7lSaNW/vDlR6XGIjU0CsfzmmfgsBqIe7cZX00zaPhRfoRobr0DKukxGm6UYx75CtP9hF
6pfYGIMh2ildE/giryDbuGT86wbiU3dvpVqjB9S7Y+d6TtvqtpQTi0xOYv4Uu01FElShknRtKo7c
nZkVjX/XgxW6mrAL+zhOvbIDaMXzP5ptxzf1knfZx0zl3k8YMm0dNPxaA1Gtx2rp5celi3s0Qqt+
/mHmhv1rWLDoijrHj8n9zRHlFHfpPufSUfPBR5XnIyV3AHRV0Vj0kAlxtRkKIF/Q1b503K192Kv6
k5kXugE3CfuycLtUPun2JhW/mMgF4DrlJAF3hLvsJluoH2vn5fmeIF6vDrWZ4TEv0RW8wr9bz4MN
PdRSyGhNRMNxDhdXupDKDXQnLVSwGvXwKB1j+BQnSdBv0h1en6z7dCU6CKSmU7gohUeKXPceUuIm
WdeHPl8LZD40cWPlKOwH1eonIpBxpZnRTHCL0woqSP3OdYss2TtF7KAv1cQUThqz0MNiRiOc9KIy
r3ANsCC3YeJsB7QM+psxQXkySP0sfuq6NbcDzfKWH0aZo629WCZk/GJyvRBdaXmbejWyO2ghxlvO
lc+fNBkn456yZfKpw3UXYOc4leq6oLryOUEr+7u2aoiGj3hzh62d0npFWX51whS9xcc873pw3FqJ
y2gcSwsFJDMxM7j1Nf6lOjLckz2uHh3/evoylHb34Ccy/rSMicAmrTQAQpYj5gh+PHwQXUqKhDiC
1wUNsGzUiobRyoKexNAPLEM5yb1BhDSEdaegOtqV2WJRYGf6roLUc2sPsX4jl3m8zhq0sXaZTPLk
4JEFfRwp0PCDplnIMOntrA6yQYoxLNsOC3NtGgo3rNfJ9vZmh1hvIBrTH0O9kkOFrGGyz1LUNwPy
JP3bQNufFdBnM59KNSoDN5OhacQNU7lBZjhQ3xIgxkMwgIT6NXeT9VnylbJABwVBgTg3JiNwc6lX
uyRu5jhEvN384snJ/0UnPDYj+IudE1rKi0W0GoiIRU6y+PnVEms4LeSrOiYZoMogIy/vonkwJdsL
/4A7MXlJIGmMP2Jzl/rHdnKrOIQi2Hylf6LoFxVthjSkpMi6CeaP3+0MhGq+uNr92MUmRaShaSg+
DMIO5qkb7dDNbK29Ago7m0HeF/pPOtZAGdwlg16ZFG7/kDS5MA8Dwps8IWLIdzOaDz2mtxY0SX1I
kqduastoMNukP+hA354RRY+LsF6MnoYPFKzuO3Z2Fd4irp5YrJ/WrHYNVTVnV1TwEl27yhOI+o7Y
mUK2M+zEhcvbqXVcfPHcdT8NeO46GBt0MVdvZ5fHGQWQMRjQnrZ3wkjWKfCqcbpbqxbZh8JMtGzv
x3prHjKT8LFXcMpDewX5EyhLoBqdJvb6UR/WdIftIivbm8yBqiiiJkfHS/PI6WXz0zemcm/IdW73
0DXRpVPeEn8ZnbzFhL5Z8qfSaJbHuTTs0BJ9fjNPBPJBjhZYElhuivCtwJLQinKwlo914rJ4SqG3
0YgD0l+1EVMyHe10/GtZOtZiYkpZX/luvD5kfFuwxBxy/AEn+2ZMtfOY6el643RrRUO7BXPI8VCL
OdxIRMmdUU7xA0qZZcVZyNHlq378Lic5K76kQZ0tFbO/U05rQfXUU1Ue9DVBDr9Js/J2SbEHu9L4
cklApVDVuDSkfh4UVBP8a6EXzb2fz64K/dnrKrTnnPS7puH5hUZZBsC4LtrYiVyy1E+zwV2DaL9P
dLEvREqpp+nzmt4q+eu0H5rV/JmI0sNPxGQ5euuCNlo+x2LYvR/nnCkDOjyrs2mWbO6a3gnS3OgN
vxP20hLANmYQQ2O9LvPEO7rSya9brdADMblsiGS29kYds57XtdiJcTDC0fGwrMzGG6uylivb0cTP
9x/uXMSLXTWQjI3yBdX5JD1yYgdoBsXpYzITPUUzwKUPsYLPHRiT5RydVS8PvZcV92ArBjK0CuBc
iuybP6yAkmth3sUoOP/dekykDdwrqEZL3lVGM3CXtRSLx7hqDkOXMLtzLR5lUc2A1pl0uZsM4X5O
k6TO8fxF+wDRE3pZaQtuAriFuO2E9H7aa1d8wpyhTQ9D3GXfhnZeP2AkNVMYVgPr8v0JORO/bUhh
vhJcE5d05XWoWOqtt0wj+elsOMMm8xdJzI0QSuygNSMd8/5oWzR4km8gyUVlRbiUvenqvR6tGNwc
qwdPHmt37QIQRXDHlmJHLPxgr+sN4IuH9wfcfuCbAQm7ga5bgkL7afLmqlRmQ9Ec42LR70xrqKPc
UP2+IHKMVuG2OwNY6HEpVso3ay8u1J7PBJCAczboPMEjPNKTQFwbRZJpWtnwvpOKSKPSCO307kId
5kxMDFoDiVBfAGHQ9e0b/xamtrU164MWA7qUNa5TarF3m+9M5On5fGG5bPN1Op+byo8JU5Ei/2nP
Qg12QvOXoeo1nnCd8cXegwUQWKhYXtN5+IaGu7yqC3u88CHPrZwXARa4OOAmX2BJv70jSOG4qjHw
OPrgFg5+ki5HtY76rp88n8Nw9e8b/WIR+FwNEDa1j3UcAGUAFCeQGH+ohroY8/ZY13V8lMpQ+7RA
fnzUxbgfhtLYy2nw7+pWrWFfgGGxNaC4kBXrm7iTXYboUlps/sWQAlESiMZG9EgCVIRiMbDN99f6
mWWAwDhkDXDxG/T2JI0V4KxMIqT2mNLwiMbWcnazkZh7jvvxQjf7TCOU7jBfgUoE6ME3+rt2g4VL
KjRFxmGiaG61rZuDJkn7r96YG4+LyFcjgp9VxqGZzIQALRvewAhKNipwsHS4cfoBMmfquNfrJLTQ
sNvuB0LBaGVmg/t1KAz5gTLJ0zS384/cnjgumsxxnyd6FmRObg0mvfNwDwsoeBpJUM5K3CQanZ1p
dJogbXLjaDaJ8Tf1GgM90cXLsfUZluxZGyfvlzZm9KLsdf7akfNTAexdk6p7r1FHmlEwxtJnyaMx
QdkiQBE2uRl1Uz1C4Eigg2d21dLljWM0Y8dSBsYisUUtJy3Jbknv6v2I5GwW2slY3QwGUoQB90N9
aya+/XHN1soJVvTodm7G3AWOaltj76RdfN1lCyFjGi9SP3hF6yz4A6V/dVO2PqjEcD/qWk/g4tLX
zSJZF0t14bQ6cxdQM3Q4qygI0cA7WUDzUMeGkQPeHtL4Dv5R/TzY3i+Lwtq1PReX0Kdvl6sgq0Zf
eTN13nARr08tL2/yolxcdcSsmgGy2YEqkub72VSXjCXOJPIb9gKYgEf/BMDw6QmZ2BjwOEl/9NUU
Hxa2xdXSsB/T2o6v9I5EmHxvvNZhIez9oUM0dVH9AWEafV+MdHqGtvV/WLE/XJB6ORMrcQsSK4Fc
4FB904IZjXoZaYkOx6Yqho9judQens4AelC40bXrMYnV89SvGOXh2Uc+3Az+8KtaWr6GJJnVWT4e
JmbWANRzZ+WaTkqCE9ru/ZPlDHgFwANTRy0JHixIudffqtPNRU/QSj6OdT5dTw4GfTWd69DWJzMc
G0seTVvkh3kk9kwR/t1pU/z5wjNskcjrqwfSG60NE9r9C7/g9TMkPiaOyWD0xzYxKvzvoE1hG2p5
P1QitADhlGHFqc0UT/DQs8/52qEYCI45PeRF1VxipjvbyX/yNJtr/KaERkudMtvrp2khrQ8FHLUj
djTzZ6fuuYWQ0/roI0A9BGlm96SZs5WR71qrDdZC6YV+mApjmSIpcQKephoIkmMOoOaLHl1r/o74
B8ciEi1Ou94Bvs8QgYeToNjFbapjwFWkek9TGcbTJ3tAiizUhZ0V0WLqPcm449XISy9eNHsU8QGq
e3NgWVXzTVd2CYWvNtRNVtOfCrZa8gN2lX0WmKN10ykg0ESyZobKNWnqc5F55tfGcuY+6iy9+UTp
0kbHvQfZMbRLMZL7lPNTOwwovpuz3aIvXDViCHowVJSLijVRV12nzJ9avGTdhZbK21CAzYK062bH
wH13SjSLW6xIRlkMR0De3bVFZ39vjZTmpZ791Wp6EUy9/fXPFx8NHORR4EOxC05lTnoL2Fu9DsOx
zQAx1BzEeN9V+XRo9DL/ZKx+FVJyXe+cimp24pXezVJjjOemtf78/qO8DSlpJVGTxECEfpZ/KgK7
lbGGGXOX44o366GmUxIIF7PR90d5exXQn4cjtUFUKYGeoo7XTAPRkzKKKDX7iP9iF/lVDhOhsEFz
NcMlFd2z420S+7Q94Gad8ky9mdIVaKThWCtnjjR7Xq8sMWLfZmTmFSv2kv/PuVnk9tnIgwBkiWZf
b19A7IC2lT0cR/DHZNd+FrZW+acifrTW6cMJuqOcFWDmT0bBipOaopWOx2WCUJE0VBYph1yqU5+5
SKnybyyADSNOGf71u9AKxy40bcbj1NG0yI1FHUoqdQccPcT+/WVxZuvBLDU2ci5Wygz2eqgGXZI8
7b3x2K2AKOFd6vueU+MoZulRW8t8qnuOdiGufbs26JdAJwOShZ8RbY3XgxIou2rNp+GoD0Z9nfi1
R1YNCCBWZr1PKdhcSDXezifjIRwNAAzEFxiW1+MlKk9GXwGMJsL76YIuDFKnxRd0xGL2/el8uwo3
nxf6w9sqJD89uVaBwVGvt+FNFUOc7BdNljhzDvWF2/vlcHp9V/07ABzZLrJ8/fSuSmDJ5mgyMYyZ
NT+zceLiTrrlQJ9YjypgGoehMtp7VWfF7doJ7S+7afwgz/L8u5bk2V4VjraTXhnvdGv6PFSeFVmg
VCKVpvNe9vihwh5Pr4tWj8M4paxYjYV8LCv6Fhcm7O36o/hAGr0B9DaVlZMNlQ2jv+JdPB09pcTD
IjaWb42FOQlFcUQ/JkPb+aIU5xaInkwfIhxwGqGYcFKcYthHuy07W8uno24hOMFFPIWGKoegy+LP
liwBrZVrsXdzeAx4WlziGp9ZjaR0JkeIC+4abN3r1SgoIioxetNRGwz80ERmUV+VyT7vUAN8fzme
HYrckZR3A5KfogQL3apg5FfzUaEhe2W3SMzBchXQ+KZLYPoT8ZGtw0+mujXxNuLZBoN8/VqOPUIQ
LNL5OCsEFdJZOVdqNrXI1PEQw1bRiyz8fVHEW7VgGs2nskd6NXBmYXymgyI/YX1LyZbY48OwgVpj
fdDpyVGFG9rykw/7amfR5jm8P0Hbzj9dCZx6LEEkEjemweuHrkdEjUXeztC6cnJMS6pH/KdvoOkl
Nz4OsbsCQv+VQAntQof6zLqHTIbKLQcg7oun9gc4LOcUtPv5mCJXHOn9YsN6pzXgbTsAxQ0r4nhp
o/ff9sy5S4RLMcFG22fTgHj9tgg2qjVufP2IKoJzlS5jEaUKh5DMku5+RF3jwnhnsgzuMUotMBnQ
GaZe9npAQMt9q1XtQKW4W8KOXQHWqqqjRdC1Qmg3u5qR+KXoXcnrGLLJY7lM8sIeeHskb2gm1Dc3
uxqw6SeXDWV7jcSXI5lkQ98ZuY5fcCzrC/foGRCcR0Fy47uQKBBXnryqX6V0LCt7OlbW+gsyq7pF
3L/DNLs1I4l7wfWCHOY028uV8GrjJqkwFofIjPM10iV7D8/RgxzK5VplzaPVZfkHXySX7t23xwFY
XsRAeTzgvCyA15+jF/Fa0rOcj4BiN9M/0r/VGX6smtZdWN7nRmLW4ZaA9UGD7WRfdeWMQ3A5zMfG
I0SilmlHceHSVpa2eWGRnRsKjDMLWydzeEPNp+ZvpH05o8KRDz4Cp/T3ugL8mSvIgN7fP2+X0lY1
hJmIwB8lldN6XMnN6M29Ph9XMSJCFmvFdVtQJnt/lLMvRBa6IcwI108zk1rhnKMWl6OBI/Jo5DRA
tWycD6KL1937Q50po7zIbiAfRNxCHfbkO02eU9pu065HRbVhlJ5OnaTKr4zGNe8t7H6eOoXvjRCL
FnHAt7vcRvscfJh9Z8Rm+tEz0s8jfKGf7z/WmRmA/wopk3SQeO2Uxcwl4BTMq06NH4lGLBCqCPcn
b68x8oUZOPNJgdATd3BMAWE9FRpQTdGqqZj0Y9clfmRWdHKSPpUXRnl78EKGxp4FDBiCthzAJxtv
QiWmyVYdmk7dhC7Kx3vR+7/0sp5DTKwv6U+9iW+YOjgt3Knsd7bhyT7nu0kPhCK7D9zItW20duS3
qbqyZQxoSzVA+d2qv0mzdKVni5bc+5/vLVac8fE1sIjxSethKLx+3caQ2oqI/XLMlr7cqbEtrtx5
Tb+2phitoMjsGMRGae6ASogrrSq1g2aL5dodNfu+zDsvKhFhjjQ39fa02ZJ7v+nHCMMN9IYHKt+x
gzt7YtUaKMjMDJcOKMHLG/yRuuZd9ncnlfyn/z/bX/tbNkuXJWn/ogn5//7t/zsNTlziuAv5Iv+9
BOeXX6r/Xx+H6nvffX8lwflff/c/fQyNf228kK3aSZKKW8F/KnD63r+2eg4xLg3ZTdqHuOs/FDj1
fxEbooUHnpVSMU28jZqr5NCn//a/NetfmwAPfA0aAYAKCcf+QILz9dYmmENqD94KBTN+HqqCJ+Xo
kW3WIxei763Zaw/jgl9vP1uXNCJfaAO/h5D8dEILB/EKLh9E6bfH+K2PNeZQOwbU1/ZtL+N/Ck0C
iEoS3Y5D285HuEbWAFoBYWcoTmDh/WGH//P0VBvdmFDrKrNrmU0DmA2ou99iXWb9ruh0pBCVkfm7
TCT2T803FzskOkC7G6WMFmUHVLwMbLJcL2cvG7UM3NGzf5lVmz37aKvdDiv4jcBqNRtOCbivGGBQ
Uv4zZHbywxvM9XbR0/JJNllcR75u1YCcZA6gy5FANYNUuAW9Y73ybrCrytHLJkL9iJZ2i9lfTEV2
zWNNBcPko/PfrX2hgb3Riy6E01DeoIiMvjuxgdNcQbSptTurVu0HPbfMz463GDAlTB2TNdOqdOOb
qpyx+QJDoXD5UkX1K51nShGLNPyfcWU1zRyUQ5WqUNDB/PXbun7496/0uxrq6yWCthUSOwbMyU0B
khjitD+Sm+tITGRYe91d66uUKQPL3q3Rn47CWgZAQd5NokE88nqFpHYB4sNc3L1R6cW9HHvjKPXm
Ei79NJVBZY19RRrNokfU8o2GVtsZpdu77l4i2vlA0qfhmpMs9/QO0wjuQ/o1zgorgqj0H1rEnHrJ
L3lmFs+MjDcCQgpbRWzzOHv9fhIZZ+zbhLe3jfFKzHYWLI31w1HxtV3U9wBSGtJ5IF1/Nqt0x2m0
wBOlEbGVd072nVF7JnCMztlPZWdG6zRD0miNP0WnMgpxMnh/+vB00k5Jvgkl6yTTR2dvdEuDNn3m
/ejZxGiCOemFqtjpYnwZilOT0bbfTqtUC/ZLOZKHzh6QEA2gch6foXytFxpUp6EIo1D0oC5LbGXB
4T+J+JKhtmgAeM4+V50jQs6J7lMsCYGCVs3+d8+BiXWh9LxFN7+fkC9D8j4Unlme4HRer4+pxOZl
ESWCtg7gsiHr8v3EYbZDh/BS5HNuKBMHZLgSm+HUKVdiFHUHZJWhRtcaaCSbY5jr4Py25OzCrj43
kdvSc4ytsM7V+PqtnGQlwQZgsue8KkMvKcxvSaOQsBRz/DCt0r0wi2fGozbDCULhynKoXb0eD9A9
yiybHF1hw/xIWrvHD6tYDvFI/8JC5eJ/MB7XJvEjSCIamSfjmdMMuhnl0X2bZ+4to9T7pVqbg3CH
ZVcZWv3p/f185tMRMuK1AnuNitVLY/W3e9TORc7ZxnhoEtZfZFsO18hkL19xec0vlARe3L1PViRw
pc3jj5wdpZ2Tb2dQVx/7toz3Lnanz9BMdLB1dREnIZUoUFPTEtO3r00rm4PYLJE99WfqCAHmt1m6
K8oRFV/wK9jb9bbXOYHX+3kTeutqNGFqqNkI/GbSYHg0gwAQYCTLjeSeGUHSi/WjLww1hl0LHJJr
s0Ja2i2sOQlwIi/+5nApN+Bjal1nevenxRCAU1A3WZhii4wwfHm9iOy5wm7Q1tx95qxlZA9LDxtV
/eGtug2CesVm+cbm4Hp9PQiNeyAmieI+yP1xo8oxceIiT+E0ydlGAeK78S64+LlfX4+yJE0J7Mby
99SM1DUlROSp00Hfzc4wPizAtK/t1dV37mAmH93RULv3lytbnQFeL6IX1SnUd8keN8nl1w+gWcgH
TcrNDnPWDtM3aDDYomQ6MN9r5TrLwdd8+4OReuJZZX77o0ZldfjkoqAGKdmsQwBu3YdWaMY4BEZa
Dv4VjOFFx4Z01lWI7K3pBWyI7hdHavmlWuL5cV5LDZpOrf2Dt3Aqg6VKBUhbSA2oAhRt8rnp6vWn
uy6GBJM/tTat6qG9LZc+Nq6oNhrqOkE1fY6c3EJ4PUfTDmAZ6ntzkMgiwi/aa3bMQfrUt0JHx6A2
1yuv9flxuVNl33V8GYCwtJUEim+Kyjo4PWJO97lqxx+F6Mz7rBBZH04CdEyYe2NX7opCM55q1QBi
dvRmvHVhKtfhWiRqjcBTiweAkYrMmxh9DKyxRxpEA6Op9m7br/3RxLkBbGuvNZ+Bl/rfvGEekj3C
JeLJcuFqBFVv5rcTnjEWIr4ZOiA40T2ZvaxL4t5BQqY29PJZ6+JpidxSg43vO/VS7Yt1sgBbYOl8
OzuLPgRjWnFmz9oGy889FIR3LvjbO7/znTkUtoRQ4Zvt/MFeJwDsztBZz31tm/WHPtYroI+pE5fA
F3TzrrdBMaE2UP8Cr9SgyojLccG9ROpbxUICBxGgFqVt9J+XrBZDuLpJ9nNS9AzC0e8hZdWlDwVP
G6buXtgpjZmKmJqGrRSbH8yAmnJg26oSQZXF6m7aqPuBSocRmYZc0rsvJsf5whvXRlQZMr23IW7n
VMQMmZFnrLgSmClog2Dpe/85c+BK3EyJWvJQ78z1IIq+r3dZ0sk1gGKVAY2yM1oHo5qaG2/B0TMc
GgML4hW25U99afRbsBsu2H5Jv6Z1mma5jl2zA8kF1EEPSmMY7xUGdn5YVL742SQ8TOl0LLncb6vP
60wM4tYt0ssIRAOx600H3ZRGG68hMHahNhO0bv+vVmHpudPHlBqdiohzlg9lTHgWILTCWSr9fh6j
ggZzkGTo5kSNUYk1SBeEO6Heu7S1/DgmFVqrBRZFr9udjiyf2dWhVI35uA45ZIW8n/wBK4LCfpyb
oUsPBnDBeNe7Fsq0MxO2AHorDEInvwbFo6ZBYettpwP2PzgE4etcxFUe2kZT/VP0iaXd97gEiSMr
t6geWn32tbuKoniOoI0Udti2/QioPIvX6sqPu4E6sK/sFu2POusPGBPNVVg0M17c84JzJpZnrdmp
qzlfPG6OGRib/hcSHXH3ofdj89EHRwGMfLX7L95oG3/HdYxNmpvlxve40WZ6P3TbblUyVM8kR+lD
Mw4IVllSoiacw8KWFBt18Uwta3zSuwSifuwxia2UUPUqRIDLKPYWvQ5g+vbZDngFqy6b5/GfvF2d
X0tludMuZxsd7Xyg8ONl+GPzhwk7d2PbWvMDLVJ33C9FNcqIqYI9yA6z+nsztzecFsrN7UFNc/F3
x8y79DQROacO1Oj612zI+kvOwm/DbjImZA3IILhE0FZ+fYzT92nGcoD7glc5VLfEMvaiKX5cuC3e
3lbELltetkEw6JSdFCOaFREE6c/JobDMDi/Xcb6dIZglgRf71UeJv0UTdmVdf5Ru9sOIO50WLqSC
v63ZzPrbdhbFrxG79wp1IY4MzHhYGIGvzATCFvSl+8Gn2BHlno44BL2W5IdSPnmfW/fj17gy6LnF
nQk9SuZF89lw8+xvaavlEVhK8ey72XrBOePtpG7FVKJjzFXBhZ8GxyBN4CTbSXpQ84THdl5hKNlV
zQVJorOjMKlo3xMUuqeJBbg4aWUYEhzSfjukFHZdunGxeHt2FFoYpLaUUikYvF4gCGbiXc/+OFj4
sQdihuEJ3V9dCLfPjYIfC41a4hkoWifRRIX5RwN3Oj1UU2zyWwsdwerrC9TnN6MYm2wKuR+pLAHw
KY90nP04sSWHWmX42U7hUxAiblH96bvwk8E+gqJDhoLm30lo5llceXmupQetFDEHn699a/tFUmz8
r6LkmbKDvaWqrwKwl2Fw8cOcEerHqQHCqm0CVCrOD/pYiX8yiTXMddM7KTobbgrMl/w2ecj6YpRB
PzjeM46mSgQONhlP5TT3YBpTW17pi+s95Q242MVPtX+IZ4HkwumK631VOmt1o3f/l73zWI4bS7f1
q3T0+EIBbwZ9BwAyk0xaSaRMTRCURMF7s4H99OcDpapiJlXMqxN3ciLOpLorStQm3Db/v9a3RgQJ
o3Scyi+GVKRhbtflpiAy7Z1RkznFRK5gr6wQS3d+N41W5neazGc/K2aSDWIi7t43mWmXwVQ601Um
tY6UzETVACRVIkNBJK1kNxFEkQakBcU9m7cq1XxVjce3QELohsuGQuCJHeyLAxe3D/wRfQ86lxTp
13fl2YFrcQfHjigycvvAkWBLry/yKpN7pSbW9/VH9auhUIGpq2SXJunxJ6TmRBrYipXurMJO/aZc
vWworPzMS0+h/9cTzNFLsfbT13MHBHLjuNVSZY4tRO+lu6ktz4YE56M1WV84BbxbKvt2NKwTM/sv
Lu0JGM+WY5UXHRf3FGhljWv22c7KVl4M0t6rvohc340hGb9+F3/x8eoa4gpmO4CWsHUPH1iGR6LL
8jbbNble7Dy1E6GVG9Xb/8YoqPbIOqdAj2jkcJTONCkP60MGyTLHjFfRrne0PvrdYhf4DgquOnKR
lTfyBOt59vIZ87BMSjZnu5RDxUYIjd2HHZ/CSB5XJqHzoZDCHrY2PVY68OG1WLPVtmQpZ7vJYaZr
zcq86IpS69mvKT02NaufHhfNQqxeld3n37+PjLu2H9ZP7AWmBHpl7nSMTSWvDT2hL5guW/tEo/1X
7wTVPIprVCkZ7GhfUbeiblXFyXZ1nlhhnUxwXmXf/v6Erq/oHPS57JHYLR3ex6IwYjmVarbLS0sN
HOko+HPVU+l5v7gWhCk2mTj4YldUxuEoeTcOEyfhfKdLhTTKEv4mUSz3rz+WF6d20E8aSij0ArwP
rBqHg4jUNPD7t3gC2zEKW0l7YTAszLFgedOtgyDy29OA/9tL/DeSAZZ4ZqG/Vu3wYXj412M1pMNy
/VA+/uff75vHr+lD8a93j8A5q3/V3//1mSCZh/yhG1jtf/zJ82//+fuv+tlZ1NQ3qHYwUbAXQuX3
d2cRteMbWtv8tye9B73HvzqLivMGMCV1LdY0qnq8q7ymf3YW3Te6alAVNtnIGeuc4/5Oa/HpUPB8
lVkH0CzWMwpd3IQXW49otMohNpPzajDl25rz/qc6Rmfqxw3NMB/MlHZBRxkb1Ezc21kfkfBHIpEn
Il+NVHMMi1THyeuKSuWo6LrD26Z18i8D5/4PmkoeCsK4WrxPY7u5k+2iDwEmOexDdV9SqYdNZbXb
zATDaLtgFM+jJk1mNBJJ9N3TFlXHoIZKz4+KYIYPnF1TQXLpqmtDdlfBewTDtRj1u9wADBB49tDj
QSob1fb7IdE/LvxpnUswvhSeU+/stunsHbwV/dJpQEZtFN20zpUa4kPpZmP3TpN67m5Hp0nid1Hk
ximteiM/U53KvfeM+WtNJeRGU5Je2zsxNY6N3vbDfGNEM14ujFUuRl2ihn9sOX7rs/uf1pzntLSC
yV77oH7EY74fiwfx2KcHn9CfP/zzE9IdQjD5PlR6PYho1gBKfmT4z78pzr7RNBSPaOWRgsGU+esT
st5wNCBOhaY+mYcQyv/6gNQ3gKcIwCA5k3+CgMXp+xu9ebZ9zLN/f0Fre2YN2QQ0gxphRb2u+6pn
GwDMrWUstdY4p3wb389KVH7TyduyfN7+/H7i+LJN41h+7u1BB12S14YT5INm7yOT99Z3WrtYcGGb
/Biohzy0Ol3Dx1/kxs3UrB5Nj8ybYpOCWWwAarTF1YJ+7AvzhnGTTpZY4IXBJNghlYESNgr7ekyj
4rM6E1iFnyfqom06OdqjBksogeS3UGtaRgjb+HH6u97Tqpu2lOKLMqQjxTcea3PWRFMyglifYY+Y
adwSEq+jfAyReZlnXaxmoD0arXtn5a38huZSb86qQcvfTnRXRvYJUT+ElkI49m2fGuocpLVXW5ui
SGzL71OcjLiSOIQgeKEap+DeSCl3Fra21zTYin2WUahZTS/3sxCFgANr1beTrQjAC80AK8ZcJkyX
HIAAYfRuTJvBUqQTeLgx7hqr7G7Ttf3hU1+qvy6dmZln8Jzsa6e3qMcZFqdeX//ErRXklqUwD00F
D4Sd6Fc9+BY2HnZRvaURUlGE663qok0KfmKUlGarqsgucqvov469YlylZFRUW0XmBudPzyn6wCxN
KrZTP8Qq6oBYLtuobIfZHxGgnNtt4t1Yo6d+bKHhfYGBKKmPYeIfd2ZGTJorRJuSGZD135wlpwe8
pNL4VNmLmYWjVaXJtqMAk9GFFvF2XhL7EnsUFQP6/3VyJRX0RT6NGU5BxlQb9NX0NqqCTkxpE3p6
L0KgLIB+bWEXd/XouJ/aIbIdjMMYYzvpIGjgB5ostMuafKpocdrSL6gx3qLRmh7U2vH+kN2c9aQb
azJeo7yLmj6RPn11CzAugTYZFNGUZMFuIdJOvVbK3LxLikqPiTXqG3g2tlCj86GZjBiUhKPdTkKW
DxYWpk/YnGF/NNKk8DM2TQTDRiWYgUIl1BtwkIQFVQnB8nzU2mWNccGj2onsxFenWM9JEFOF6k+t
FICy+NX3fEh1BDF/IDNSjs124iP97EmHbr6xtCU5PHrzx2yd7qgcnqSA29Ffp77CasrKujb2D2cE
SFZjkc893n1NWbYxuSGBMCZ93xjmKZvG4SHx51Ak0a76ezbN+jo5PZt8Zg7GpZe6ch+pFGzzSbnr
TPFWd9KB2HjrD72TJ45uh7vOHwOCY4CbvR5KXyiv9bSFGzNYcl+UNs0WJ4E6NSeObxrFhx7kzrMl
4VeVkaO5lTtpPyGuUN/SajuGWneU4BHwoGqHzlCHZqdEAVu2U9LJddP/fAbHAsKpA7MkFTiNYvvR
TVQQZWDvhaUV51X9zao1E6GznHZzGxVnMDWMT0WWVduhXtITd3M91ByPDGwCoDOrEfKMo+PIYERt
aTn4N0wta5nKZB+yp1iDDJNl65ZOfdvPbH966Ds3VpqcChF9+aIiav/hnUXjyDJ2+PYgbm5ASolp
nw+VukFcpQRpHFEAosUbvv4kX76oFEsYjLM450g+0cOh5rQedH2shj1ianPDnST3r2mqHXsyl8N/
ZWwbZ85P3N6n+tzh/X3aYZNRQtoNGr31oPbs8/CGQk3SSRv3s2FnzMcKGBMmxbr+GNUulIiSYtEX
2kvjh0FNJiUEri/u2JQXaZiYosQ+mVFFCDUZLWDUJiORJADpPUUmh+bK1qxyUFuI4gEH6DkFbNoK
N2JovA9tLOiSGYOxjH4Tae/HITfPcnyoNyUNC9BZNlgef4GtdNti0318/Wa//EiZjw22Sp5DCiZN
gcPLFqYphD5j3e6jpTrHvFicp9PY3EyZW2MiL7rN74+HqWFl1xjrTHT0HllTnWa9jgUVnlMdjFTT
L0UpkjCOmffNZdRO1FxevrdPUMgnogS64GPURx4nWgUAjQyj2b1FfW5fAc7W75cic3evX9nhSX6d
7uimcI5H2IPKj8nh8E6qUVmzv7AhAYxEJ0JqKoLYRv/4+ijrzvhoHmAY4CXsb1cXzfEweqVHRpMV
w36IkArjdkuClnfXjxV33lCkgHBf2u/meK52w5Chq2zs5SJiF+njIMd20g2Po9f3fjphuknS+F5q
8X1bKKCbsK2c+JR/9cvyS+LXg1gOt+ZoeSsRP830Z3riprtl2yTwA6HBdXRYW2BWUfWtI8bw3CkT
NxBT9HumgqcnsmrYUF5wt9h7Hz2R1C6zxq0Xb19MMqerPttBaynjzh6s36v+r0PB2SYDgnYy0Uqc
FA4fvi7LoYeZ5O7VgpzXuOuzbRw30fb1h//ydmLmwbaAG4PFDh/30SiOubjrvERk3CoI8Hr3XLDa
nWVzHm37fsrvzdnw9l5ZplsO4qcoxC8XP9zqHK0ogVBExw5yOLwsK2ScVuTsW3iHV8toX7YNel7V
0yRiUq/dyknTbsDXnXqQ64M6nJtN3EwUTKHXgHg9VvDo0cBuXGbu3nSKT0k7NztNZjkkYI5Dfaye
2im9/JLX9ZV6GSkjJOkeAzNtgHM5lVVnryAe3YwxcIOec+OJmfAI4vX0zrCTQPZFahyN0hdV+6Zp
4dIp+l43hCc3iaayIji8SoEmShYLdTLUMXRN4YIqJpvL8+bkkfW91oLY0pbPRt6L4ZyVch58bLnl
nWtOiKWrSXNv5Yj4OmzaOXofwWtFbmG2ukNGUzE8FG2LW5xoq5zw7HhypmDsxuijSFsbnpmLO+3M
QjkAo3y4KmIWtSCGS2NsY04L+SbSFFv1ZU6MPCIHG53hwBkuOTXNvZy3URhS4TVRqzGnHmtQMVgB
EaksbS/mxt1XiWinQE+K725s5usNKoz3eLihD01ImXV/HIRgclMg1EFYbF0SQOg374s4UTEZotw+
B69RnaLAv/wgVq4qJWjs3Mxxx1ljJA0OnWXF+r7Q0tT2NTeK3bNGxkB34spdPrqz48jAnZJ2DIVE
L/Cj3vOPIuQXN4lxWQKYEtgZwjQ5qusq7J6I6RwyjOzFvMs9FOh1AYBOjmp7Yqinne3BN7heI25l
6GoY/ZgIDj/+xSTELK/MfO8ug/eZfFSP2Au1PYPskT2OY1JuBxqgm6mK9Ev4FR8TryUvI8OBk2m5
fB+BMT3xAf3i6ulNY6bgW6UbcKx7pftBHUGKnKyFJj3T1IrFrmjqO62wTuiHX0wIiINXvzYtDTTm
NGcOr71DK6TMkA73GJuJ2rDAZmSpK04slr+6HoO1A8E1xdqnIvPzHSihQhYsvijd18JxQjtr9Kta
n2Rg6IX4LakCUw8XxFGQbF/wESii11/l2Wa3L/LCEDYJQIZmyFBhmghQ8fx0FP3j6/mrd2aN88Vp
RoYw3u+j+9ZXEFqQmqd7c1a6TVloc8Cr0V25/Zo1PUdOKK0+v6SH3ewKz6q3iDjswIIitPVQ954h
q3ZPPMoXSyhXjkKTt3gVvlAIPLzyyp2KykNltJ9E576F8WJuipUQmOdDEmKdgTLvKO1OVdN+4yrk
D72+gj+xJY4+IwLesETQuscvdmyEtzLkdJkUKfGEUx+6nVNdEq9R7yBGdGed9EjrG9PJT5wpe98Z
ZRLqjrA3GVjkE2/beu+PfhE2j3iUse/iEj6GYKjWtJg0O7N9qSvlNmpTNQDRc6oJ/mLl5izO300H
w2FfDPH68HZ70q2lBdxn36P69D2bpACjtHJfq+EYR8QGnlg3Xh7j1gHpUAC3oaiCEutwQNIP8xGN
Ub5PXCVHGUNwQ9VvsuGiqodyBzwr3sWN+G5Uar8dqtImY8/UfI5+7plnT8WmHLsoYP+WXmULzWxh
2N9zYY5XIo3sfZZTiip01QyZ3dNLPJqN347zdKbVeXGhLd4Sxm5W7CBcflHNofQ7JA0nmp+/uqOr
8pZiMJ4X4zib2iHPwDUU0ey1MYs2UppFgGo9C91eI8WnGaoTB6in3c7hi0JQF9s+3hWOOGzDDu9o
vUxNP7QNOfUFZWS7RUwVRGnTknbRVF0MSqKOL5D4IPUQCWg/wMkZPOe5EMktxexx2sVGA9Pp9Q/p
5WRJmxuEI0e21eF+7PyZGt0aXQjle2OyZMhj/6aynwqSiUix10d6OWMwEveamRInNIvN4fXHpGxr
bjW0+6n3oisM0t/MZih2oGMQp3ZlgQcOlAgZL96Z5eBCe330X1wnPm92QTRwAas+qfqfzdTJ1BDc
kw713tHkvCvnqQ/aeWkpXubViRnhiBO5rgocXkisoByKghm/xeGVYtGLPA2x7l4OiReKtAGaEiXT
u4lYbHgJjrmvh3m4qdtIgworuq3S0hnv61Y5Q5aaX0grpXSaW951auT6TpiJeVOl5XjBheVfX78v
L4pE6+8K054NGNquF+oaTCOR23l9DS8lodYfDculrS7LrdMu1a0tC+1Ws+vpxKDGL96Fde00sVFg
Hmd3e3iHYqaIvIr6DId63QPuoKMyN5mx0ZP4MXY7lR33pOHL6j+anNAnnX9ZDBou0FOrq1jvop2i
O8u9CwUk1IfEDFWO4pt2qUu/MWuerztUD3rfGLvUq4Z3laZJ30GpFILRM6/aSECSboR2Vo3Zcgm+
PvEt6Q5kaZXzhi5sdV5QXN1EJScWvbaXcC5M8zIhx9n3pr7ZSQOt8OvP4eUyQrGD8y49N/YSdKkP
78hi95UhJlchNBgZRhYTK8aifypN5BejsFeh4or4nz7dce2aZrA35ClwSdnGya3dz5BU8uz9b18K
dkKKBWB9VxDt0dKR63KwWlif57yzhHksxYBPnSDq10d5+UHTs0RPgkyLTYB7XCnIjdxJdLOKqfjn
SiARVxMkR888sYgHfhrq/187mJ3c367uf/R+H1jB+//7ZA3HJLnqHg7+ZfOkgXg7PnbLu8d+LH7Y
xn/+yf/X//hTH3G3NCgpHr6VaRWm/dClX4fnfV9WJLb3K0Prn2UYwWOFl7v418UDbPiHaniofv03
/Km+sN5gaWFTzKmfAscqm/rZOkZ9QU+BFqJLIwOYlv5X65j/gMGV/jDiHe1IfGEgzEDG4a2x9Egw
aPr+Tu/4x+7/72XYRb3KXMdCTIWJYxhr3uGH1sm2SseiJ9xsiMG3aoVOkJ8PLrfTP0pKgQ2h02rs
bSifz8X52GtGStsv79KgIgQOIuKcuHtj9qpuWxAAMW3mhR1UG7hk5jT3RR3Nf0w0uL63OLBpSuIi
scPMXmqT5nRr26HaaUoIuHPOfSsTsxOYhrSqHQaOGb8Yk237rqTlk7yFJwzDMramiDqFsPuFRiEQ
C7+qjDQLDSWaynO7STUZFGbTL3sRtZYTZAsHe4wzjTOGfBQGwT3LwOEnhxlrbuggenZIJOfcE6pX
KTEvjVJ253O1uKU/95WZbObREXHY2Tmwm2qas3ZTx2r3rutxt2DgwzYbLGmiv3cpkrCDAU6B/bPW
6nFDeIKm7gj/UEkrtDrDJqZEzZLQi4rKvZ1nkcY+grP2UkvGevSNSOtTUKu5d1OQ6NMGKXDemTxq
2dINTwgSzR2v2c5N1cLTJYHhoiyGTGzcVBG7tiuJbujb3vmUd9P80c7r5qM9psnHdJR6C8JXidwA
T5DRbGSaVN1m7CH7h4qsq+tMWeIipIrfqe9St0jHkJKMk21MZQBv6wuvb6iKOFRmul7mQzAqRXw5
25l7PetjSk0asrIPDlbdG73l5fhRrORrQ47hFSkS5RkcITf1WboJM7WNUt4qY+ZkPtGpnbttTGGA
SK4X/DEqz2LBaREkLcyrTUH2BBKALKYJrvA6gG2JS7TIld7bArCqKS+FkERqGB5u32C0La62jUbF
t+KUJ11KvUoCN83gtc1FVhOUgPVQkmhAuglwfYTMm1JM5rc64vfZmHpdvGvI5K53bprEk2+Cn7OC
elA612/Yncf+qBZqSRpbJf+YOznOgYNmWtxojqDLUOnZYmzEJI2HLouzG72cndsOJOaXqUrhrpFM
MOPlIZXGL/UcKBG9L4ACvSn3at7X7zzMvT2IQHfU/EWK8guuShtOfhcrc+A6ileFRpJab1nznZtO
q9u3TmKZWJN6nLm0QsUVORZFczGWFnvm2RDl10HVFscnT1H7skw07AOh2VW9VYgfnjfjVE73Te0s
X/p21s9i6IUZWTWrQyUHMH3LWwIxOi8d4ggq5N3EWHVTfWFXgy03cdos10pfp9/qzhtMtFpz+y21
XfJvZt1OiNkuu/Ie4IA6Y29rzAJv5KC1uyhy2tux71s9sBMDyLA1qf0Z5UosqmmX49xcUuCldLFQ
R5HM7n3QY3eZz4Zpzm2/yarkzukq/VFIM/4U9VYG3JZsBxDanB/gJ5RgWqha6nLZuH1EMLDRUWAK
lISArp1mNt4l0yC5npXq5fm2jaKsvbVnQLObodScjwMhxGOQicXiNSsWu9rWxBr1YWqpgr7LMk3v
CC5a5LbIvZjbUo64dwZqpcRi2B3ZOnMyCsHRP5mTsLYW5qe+A1IX1ovF7NBNLi+Ku5iK8OfWQKPb
LTWzWl7G2t3QVhBdZifH5sW7snwqCI+iG2uO2bmNRVP1wUwnEG7j3rgiR7WKA9RkkQysokgfrV6g
OpBkdRiBAzpu1UCopQmDyDP2RuLq6bXHWy1820Y+Qi5RZ/hjsxCtw7wzJygYLMgXo9TcULHLIn2f
y6WDZOHmNjni42KjEHIpjG94yXTbR8qn3IhOL+S1NN3yDgoa513UOuP7LjHVb0Om4MtUCUEObBK2
Gprmsr6PJkspNsTu9NV+1cGq26k0rRx5CL7IsG2Mxtm0Q2P1gaiK7vOiumhAMmO0r7WFqtNu1oS8
7TpnXs4UKvufSV9hFyzGXv5BJqjqXcYkYQb5ktteoNVd0weESw14HmN+3u8UhRw/bnXno/5YvndW
1VKZhmKcEAjlzgksx9riTZ2y4TLPXe19lcj8eqKpe79IOAMb4KxtR45LZki4DNieSbmdHRG4NnD5
UBODWDYLN0my0GVExUxTGn+wFBI1tlKt1XGbDTGg92lW+CzsJuPDnVQppwCHHDFMUQUyYEtZIP1i
tqsknf47X0Q7WDPXDi/1Iesy8D0NX2rvL3nMQrC4aqH4ZT2MV5OILRPqdKeeizbulRuFdKmtnhYC
S2VkLAnPzoix7Hlm/9WVKamqucIfZhpya99zC+7GUM0ZokhzmD4vhpzPlbjWAMDnqp5sukLB/Fcu
9CH9gYTPj+VkYUxMoq5xsdLWMgnNZhzRzlTmeDZgCyEdZFwxzbacpuuWFZqE3aFkPpHt0M44RoX7
FioRVWUnBagZTkOykEERac4crhC4C3JzxOPc9mnrE5fnRJdRO2HWT6QFWd6wWYGXxWzOyGUtNlk9
yFtKT/yOdEfIPXWsPFORwiu9sksnmER+NKOx2Imy6r8IVW5ys+A5xKXdlFs11tL3EhSF6vMAciNo
c1qAfuZa4rEZM7yCkeVAZXHrorAC8gvabNN20o1DezZHOo+Q2UNquURtNUoN7DCS812LQp4H5QrV
2dhsXVDPiWl2LqtxQjpEDEWlhJlZV5Q4rEVa522hs9ZZbulZ153nVtcEV4AkCMqM7CZsHnH/rcwK
QS9WEF0aWENVaMFcd6N9lYgYxuFAqeU+TmXG6qUOo9g0mpLVG8Vphn6femPDG6ut6xm0g8a74MDi
MYu1okzPimJSil1ZxRqe3aK3mw3sUEyEQP0BnD7bMd/+2F4+Z8UcFptcVC5oU1FhIBpa67fH1bS0
gs0R6dI4qwSvTdDVWn87LF2OEs+M+hvTLf73zLIKw5/k3ugdnoJM//nIsn8ov6TPTyn0vX78zM9D
imoCi0KzhmNAtzgK8Lx+HlJU7c2a8kzHjIh0ijccXn/Cp5T1+EKVhOYFPRLaeojM/5K4KvobtEy0
6KnN4oeiMv5b+CmMJhxDnh9TVv7/Sj9cuThEahxzceKpVlvJF7Gr2Gh8seViP8yu3robupL29aCl
U0V206Kwg9GXwSWaKIqSYIGb3YbJbNIhSJAV6mFi2KO9HeTMLEGdD7seEWzmnce+SPiLPu2hz+f2
OZXJ6aZTVn6RMUnW8t6r9E+xO+f1PtX1ftjYy1xrPu5pVVttcMaDzGaDYHHSs9huKFk0+cJI9evO
7PUyrEYC5Zj3SbFmx2Nh/I3Jeea4oHaZCDqLrCNfr8sJwfg0v2dy6T4UZiygC+ileWlbqZsEXrZE
N4XDmuCrnHx6WFNaXZIgojRfYtF3302dlYZ502SrEDdmM7MbIVYbrfrK3kjVytOAXXnDN68u8uuu
GlnfxUSTxDeKytwTGDg24VJ3bnEWu/bM2hSTeUo4oO4050aWs6dXC9EHgC84fWne0Axv+2Lpdmjo
YsCK0iZqhji6WJhhi6nfCVwOGgaFW6GIoC7NxL2ieuTMTLaDed3JnORFsYJQ3idSsCM0Mys1ARLo
xbzl2OXCFAD3hJVdLQp3g8+zv+miSlNZIXDVbyMoBoQ+pHm0XGezhRJkaL1h8p1u5JRgNLlk5zIV
Fsr9nHLn27Fh14o9u4RNAmG3qjaAZjg+DEy+iBU54RCFgioLAX6tayyqCt6DjdmYZekPa7kQ/7Tp
EbO4Els2dSEFovwikQrs7QZ/rlFPScHuyVPvVFaWT6JMEPa7Ru/d48fmQOHO2LqJjlQuNcz6d/h9
O6TGceQidx0KQ+4G9uTbLKrRv3qRIC62UJv6vOziuvfZknfIEpZ5YD2K0UmbaqIT6mANBdw+1Zqv
xKCntxQHle+xorhXsKrGz41p9dTvvTS9rbSsTINRNcq36jiLHCV3VlxNTc62NUYz991oBlsJa9sr
3ivlRKT4ZK/sCZuwFzwTNkgKNjsjx5JIVa8FLH/KiaaobD8383Tx0yesRcPJxEdtK88a9NjsBVYE
Rp4MTrMxuyxcnggZBhZ9rOquPWVhnZJkF+Jzlf25VSaexnkR0EYvnMZcg9j46zw2L99w6yEqGhUo
Ha1JrjJEopXbURtG9L1QlCiM9GV+F62AD2Ibu8euR4wBDneGAAL/YlZ3UNogg8SlMPTPfeaVQ+gS
Z3KjtOxU7ZUlUj5hReQwsMkbOBgN23KY6gcNgcqt6ETxbVAIbyLFLEvr/JI+Y33Rk5B1U2LPAPQm
SLOiK7TMN1oWS/OhAIlsBxIxyzaH+lBRBJi0RxD+6MeJWsHHDTdjdlFWtHVyortwvMJaVPZdsnSx
oyKPQqB2WNahvNE0ggPmTppLirKb/nLXckwyZRlvOKI2H15f0Q8rqWRPHY13VMEu5ZJgEoCEnTu9
ei6NiV2uo+vB66McFjl/jLK2fCmMsQTQODm8qtGFgMDhrNlVbeulYd8VzsKTUo3QycAbPA32W2XO
fyxeHpQ4/6d5Y1iTdBZRCo7/vGd4lz6Mz7cMf//Mn3sG4w2bghVKSe0ckQhvxJ97Bmxl9NBQoNs4
tlGA/rVn0CleruQGmhyoBGjfUtb/01XGRoOdINV4emJr2R9W72+YYg7ff1RkpNpbrDuoOCAFYvI9
fFNSpwYgIvp456hZCX4x74sHt+XgbhQJ0n1RT6ca34fv5o8R4V8BJWRvq3nHHQurbDxsoyumoarJ
fMDysRn5xwW9afvEx71+TH9vhn4OxSegmbSMHFqohxdn5q3BVkfGO4MAVzNoltFctkpfVGTMpIP2
YRTMSrtx6krJ6Tll8X/2Jvxi+374sT+NT5GcJ/vUNMFwdDi+giyQfl+a7rKucjOfXCiGqJql3r4+
zotbioJNw4WoY21WYSEeTWLV2FDZU61sp9PcCGwtSoO15OWnjfxNbZ67Oup5bCuKGtsW9/bwknQ8
NxTrsZ6zN2J2FkRtGeRShq9f0Isbxyjm+rU8tVx53w9HMYFuJ9T1k51bJO2ZcBB0IWXIT7TyX9w2
RkHng6UA3xmt5SP5VtzrakXRCdoOaoyC0mc0fKUggGkxVfvfbNQ93TiWmvWrRULJ/x5eEvlcvasM
Itm1UVp/LUcTRtGUzNmJV05ncjp852Fictd45am0Ipc6WmDqyJ6Aw+YQwuYp0u9nSw7qxVTXNCjq
xZ7gFs10CLb4t7szrOEICBTDi7twHLHCn4nGYBtodpS+sY3FjrXG0s1VAOnFgMRd5xMABQVJII3P
SFXoNkOKCCWUfTvs2GcWFxEn4lPL2dGphg+JeXBtDjEbs1TzNR/ePFWUQ4G2MNu17Kk38aBO41ur
mpTPs+WqX4zF6YyQegcZOeWY1fK7R/pde9HjSiLyDBDV7ShHnYaCqJUi7GpEFLusMYaIWGoF6x3F
nAkWQDNW9iW7GVeeWPSf+qMHExHiZxXkBWIvFBMAFQ5//zZjF+W5WbrTJsP8uHK1iMCibD35RQbM
JKxW0e9G46zv7YauSbHhuf30tYtKS/tox4XIb6FZlPBzJnCxlC5J8U7x/Pm5msW0drREoU5cpVlM
eVZMS6BnLS0mmXIwvVAkeelvi3YAC/j6Z3p42Hx6LFwMAlF0iRDTn97FZ+IIpXXHpCahfhd3Q15v
umqSbJrsjgoSx09Z3WpVSW2IlySdYHtxl0MnEap3YrY4Qiuuv8f6SZFtgZyKSJfj+U/X84q+zpQD
JKiHLoRhBemXnTLeSsLeZucOoW+EHCiJbc4D4PqH8tzASWmES+tlnEsLb7lJvZij4mIn5naNJc/D
1lXXfTMH6i/86io547Vw861M0H5sVW0w3jmgwJ3rvEGS6SddZT/8H/SF2iRMeALSavIHwdb+s5P0
c+cXORIV34R1fEIg9GIF5+JZvJkOkWdD8TlawfNUVYzcrSEYWGD0yZjXQN3hBb/R0ni5GgYgT68/
9Sfd/uHbTMMB7jRzDP9nJWYfqBfrTAKbw0S+a3p3KIIMqFMcAllhjykkX/9H20kie2umnR6fWYsj
3AAehmlvjDJ1aJP1cwP9gs/hK4ewxNhGE43CkBToMnlLyrYCxAZUHMm61PEfbZwLRIIrQzWdtyKm
QDjNo6uhdq1l/rDQmHC2QJ+ke1GpjnL3+qX+4t6uKmhOBwBQ4ZMcrRDMM5JMrCbfFZNd3mcqweqN
Wub3ub6Q/D5WyomF/JfjgTZHlG5iabDWFevZB0WYByYrGee7TE2S27GmChUwu5VnyqRbdRjN2fzt
9Stcl53DZ2ni1V7hmKuyA3Hm4Yj0CYSDIZT5kPZ3Sul/BYCXwklvarovt9AsyslXuznPTrxFx+JU
PlpGZl/MB4vkiXf4cOR5SjgHywmSEt1HSkEYAQxUdJMLOTfO0Q0uWcwXUzOnVtsWBeZdE3WlCIZE
kN6YO3Z35kYjwetABd2vr9+VlzsDE30TGhT2x2gOnKPnHlsjsD7d4Hejin87dMt8niqOe6aPqvbh
9aHWpevoAbAocAYA5r5KyI9ugzM6E7ssPefU7da3TkkUY1DCcps3r49zOFevR0ICdsmCgL9qsYI+
RVE+e7WoepsC0iLjsPxUO9NL5j9MMWqZX1j9fLdESZ4iXoBsBgjWKJztXE29deKhH77fP34J7CPr
eYgaJe3Fw2cej2rjuQmrL/3POVxUIXbu0Ntv24HWDf1BwzjxIH911WyOAamxDcfSeLTrIljLob45
ZjuZe5MH4H0N/Ukc865SZupa9uqjN9Ta3MliGDYNzYHb12/7r66YSD3YMmCa1grv4RXXLvhuR12y
XYFP1Ne1abhv+sj9wkmM5qQC1zT8bwxIScPB04Jv40lC9+w5D5A1kHKAAPov5s5su20k27ZfhBzo
m1eApEi1li3ZSr9guEWgRwR6fP2doCtvmZSOdF3nPtRzVRoCGAjE3nutuUo1yRuNLN57rarFl0YB
izaSsnyDh/fSE+bzj1qRQSJL6+xV6dRSMwHlVZmyfJlCs0nVLs6Y5M45MKJNlkLh92ImlWwq8f0k
x+Lw+g1zFDp5hdZVBQLk2EZHlGuBADx9xppW4RitSY51CE99gMZ34xOG4ISgTAXNRJRDj4m10GJE
rKs/JfRNHhZTpcWGGZgA5GcvunY58hX3H6tjy9KwZFyH7bGVaR3bmiVYX3icx3Ynp+jA3yX4TjjE
1en8ZcjjHkeGP0B7HelH7nQ3DiqG8Fn6NcbFw5k/7awhTP0ppj9J7OdA08fox9uk0OSXQZHmHIF8
DuqN8ruk2bpFkBDhnGhJ8BFRTwpWloAzfTNrVRxsUnRyjK3MwQYKWC9xvcuZeS7ULzbzacuFQ0v7
k+jhMPD64s7UO/Hk22Q+jK3Rejd9l1oSrUMskJbIhF7/7OVLe1svdr0xkzKXV8J2unLnOIr+aqOw
qO5EEKd2aKzT1n1gDVRLaiJNZp8njMHCKTVc7XYptbbcm4Q00NOyhJ4zSkjluHVlb+9b4WIGR1Yz
kfXao4GhcSmdj73BIPknQFZLYfKfEGgOXk/SyuQvow7cYQrsTYeop941lqHVH4ISweNN5tiauBId
GpnIbxigEhxcwlDIGWOMmyZoKqh5mh7AICW0wkAGjlv8wvVj/9bToHJhuI/nJ1O1g3lVzppX3zRJ
AZQ3NwjWfpcbIpOobhiYRPVgxs0mdsqeR9Y5KWqHrMEQ3Wae3W6mSvX93iM27mcxORoP3xGT2jaV
YfaPkxnk2k5pGchvUTCRf2ro1C0bA1HWzxRabhq2ZE/IDU9/CS7Z/k3gGIOaijCbeobLk2UPn2KA
nIxsE2sSkS21CpbGYhgKy5gcvJvcctGDob4Kki+9XJZm1QzUBC44EI+3QaYr+9pmoK1uOmRp2Axm
tOqkpFfzfKjNiSknKxoJIJJ+P9hKPlzqhiPrAo3A1n8mDcjZELWn/hNBgo3UOBFaFTKSzO2tMEuz
iTgzMMgNBqNAyQ8zl5Y2/94jb19Fr7gJ+IAPoAbLqOXsehGkepyEujX7D15pBU8c0CuLEBANRDDu
7frB6GoxbypX8z9UniaSTb9MGEZF6WvZBuObl+whmKTIbimbBvrQhKOGy1SORAukRvF3Z3SNjgjF
a5m+1In2CWEyEgS991ilYxyIhxYUrYyITKfZpelVTdAH0h/6JeiuHy1q5pSUH2X7l12z0oa9I3k4
k1Vz1VqN6jEF5kA8xJFT7ByZxX46LBdDspKMxZFqLGFvPCFVg3Xc1PmMRPrIQE50Hf4uhQjZQkdK
crYCk2G0wk5WvzjKdHj8sFjxypbdQlqmJoe67B8JzGXlckh2jmRmTpDqdnFptYd9sLKbB2SAeoQO
QXwH2eL0EY+0exyPzGcdOxMsbQUuJ+wNv3gwCYj/nA35jyZPVmb0io8u9AqS9KRSqNKo+SBM2yts
2lpGuNPMD6c750ijRvO9kqlXSHUlXeSO45Fdjf0MjjXjIZ3OWqen1xkde/7yI/XamkdO/cBtoGFj
VCmekJ4hNeK3hr4Sr+hs6FAOQ7SVp12saG3zSNme3cD56B3Z2+6SBp/9opWPxpHN7coOTnd8ZHYv
ZQ9zxziyvA1n5XqLFfE92IKhJPI+WCe2vkLAvQRHSjAu0GqRp8ifVlwFE8xk6f30NJ3hTr3OeXyv
nvIoTrLqvjwOgkTQpe8QuDEe0qeh/7vOZXDTr9OjYZ0jTetEqUzr0oys46CpPg6dODJ2P7LjKKqc
Oi6Z60yoHIrCLkqPgyuRoKZgKMU4K2/cINvQpGXMdfw4/lFv/tWu+0l//n/s4v8XSpBpA9l0kKl7
cWdgP6SK+e3c8AwK94th9bIW+cV/6h9ZsvcXOcUM8NfATs/4XZZsA67ivLN2pUjM063/271HJEAx
TvSItbqUjzP9f7r3NO+xk0BkXv/H1dDzR0i4s9qB2G4cSEASUStz7HHO4zK0vp4JfRLyMFJwo7Sy
hgR5pT6/Faby4nUwvwBjRJ3PGev0gJWrzOE7LeWBnVuLDCHY/kvc/L/9IO9+1Ty/i12OapbfSqFf
twOajgeNN5Cy+/QyTb2wgZE0dRiqpnpvLwG9SSxNVMNxMqiNXprzz8Q2jXfE9w5bHe/gsnNU0V8k
+qrje/2vefGef/tjzgrjhPyExRVuc2g0U/uAKrZ86GpQen9+FRrd3DA37Zmrov73gl/z+Oa2ZSkP
jt0vN6L2g3eZiPku/+8uc3YzdWfoDP4reag8Z9hVXRnshdLmL69f5bTWwYHNcqQKcME9r6vyPE3F
HON6IV5HHjIxXLvd+KHikpGDyR6XDmX961c7q9GPVwOcts7IcAsAbTx9dH5SxEvWld0BDJrNYHwk
WiLMHZPTr58a1hsQ69My59e9UVIxJeCCa3zX6dXMuu0sr867g0GuRL6piHyAf6rV03xfLDITUVtY
dbPlVM35vbAa4p0njVj4N276rF2z3rTjrCY4vOBUtOc3Tf83t+es7hHeoBlGFDnCfvCmsu8j1cWA
hrW5ipM7f4SG8kYl+8KlWaKrYZl+hM7o5PQJ1K6BKKP35KFAtM2DduMLb5piDjmSo2FsyOzK1+z2
z/JPjw+erfTo/8AX9yw2Z0HWnY884kNhaiO6yzpIr0qxmO9fX01HOvzZ5gN9BmkXuq6VenT2JgY9
WSkIf9XBidFDh4gVaa9DqLTmrS2d+c4fvASCtKrgbaKnIX+gTEo9bJKyU29shC9sPQyIcCeh8cAJ
eM7oyROnsoeU+N5qWJXSyVhF2jDNm9fv+IWrrBQTAPP0ulZ36envSbSY2Ws02g6WWV9PmtfvHeBJ
F69f5IjDP32sKy6LHW5VpREVd/aW5r1nxnJu5WFyuvzKa9qvvZRD6CZ+eeUNVl1F3WKSBD1aS7et
kt4D98eH4MqUQ7uv4LigMGk99zoVAYjz1/+45ysauRr9R1R+DNQd76xzXoPZ67RkaQ5ZM7bvm6bg
mKYZI+5OKyjqjdNnhY1Fov2HE8pZ6v8lvG5d04z7+WrjdANZxBf19NFjO9C90eKh2DVmCgRri7ps
lrnfN2VXUj8W43ywvaHbdLrZff3zm/bRG9oIB2jen4dCKNiRJv1GdQA04j14HSkPW32ajfKitGOk
aJUBJjbsq9qe33jFnm+hYHqIxOQ7h6wVTtPpXYMcMvxE8kWds0ndNkHfG/etquZ2N9WpGkItyNM4
HCtv/hIjbk9JBVoC9en123++6pkScecrFcFnAzVP/wjeNndqB7qASReXV7GGZA3xVrf9D65ylIPS
j2JscHYVAObKncexPvRyyvGcSvlu7P6w1XdcRky8QF3ZiFTYvM6W0TqYq7KiqA8chfCblFXwk0IE
XbSuo5TWSfn6442Jh4cHmuE8MGuEKacPjybSrEbTrA8qQRYnFOIJCFbqjY3p+Yd9vcovNILDx/1s
JyZfy7HXAIUDGsg6qpnZhWbczxurjrX/5IbWwzsSMPYnxLcnxy+lx4aV8eE+6KNDIHo/VgfI6X9+
UuGGcBBCYYSCxVZ7ehW+2cLw4EYd4oyTXpJSlw72ML4nEa7dvb7wnh/BuNQx8AXVC0XI2S8kM1of
ts/CMwWTnbAkgGU3NBN5T8bseNcgW803+r8v/lpoiAw8mCuT8ezXMpOaszHskMOEs/azYxIcUVNM
vy8D7630w5feXTZNHqDHuY9d+/Q5Et9FpKM+szDoo289Mbkb4Q5L+PojfOmGaL7Ty15pA5wETq/S
MqmyJjtpDkwE+8esUO77IQnay0Tqzvs/v5S7KswZx2BuPcoefuvVD1rn4nzgUoI6M0ravN/OXeVs
5r4S+//Vpc5TZykSF9m6en0IrEzWm97pmkdNEIeFutWxv75+sZd+KJ+tCdeCgdV6LY1/r2qMyliM
iaSpA3Ft0w61l3tBFzl94+V9aa0jn6IBoK/A9mdKF8mkScqs5kgOgvbaIvjVjuJgNvGfNkifNmPl
J+V/sDqA2uFExr1lg9M4vbVMHzu/8hbW4IwI3E4CsQcpU4azmRdvvMsvPUXOovDsOKGtTKLTSw0m
6vasZXvn2RE0RrM7VE0n39ht1z/47IDGGJ8JDnANvAPnDK2u7gKuI3l/O22EjKzQ+bSevdxUdhnv
Y+XM1VXZZEbyxnV5oV66MjsGWkbmNrRLTu/PzRfdXqju9rOYzYSSqime+Pn8TxLvzxfk4IOztcbZ
tzdmQe8ubIMmjreyyuQ3mucMDObKw9aIh8AZQ89grBf11lSiR9f1e7Tn+Xu8jIW88AVHP4ZBaGUi
WbrWj6ESrcnrht+B/65P5Ya4aZTq5FYJ89IuysTbSD21jA0R0sa8UYGqfzQxPraIJq5z05AEJ5nl
zc731FOE6/lt23yN9THHH1ehPdoR5yOJMEkDRND9JDsAyjKb5DatdXxO9TTOWlRwCvpOgFBeYBKz
xp9OPdgF3l5lddtOX1PlZK7RMnWtwfw7lZO4Uo0sP5W2Mu48lBW0zJXCj2a7uXNYwFmjgioRLmNZ
/RkkPiXxiH/tahAkbRHZxpbJck3hirtuC8wtwdiWhkIYydeGpgvBjtaAnHuiEZFvl0a1+J0KfySj
FLb2R1N2OeQtTojJbpxiCjFzgvW1mUk3EpGj8aJF2dSVFVF/ZTxEdWHNXwezLW5pZ+vMNVp96LB7
m8aNBSLo1i0S88Zux/on1LIGHyejBXKuxiyYr80hX3L04W35dx24I9iiFZ3Mf5z0lxbQjjTqTJtY
MRcLcLmZ0oxHSrBRdQ+cIh32UlR5t8XxgD0lq/BW3cww0rRI8ZnytthWDehDIv2MmsOlrlia4KIv
e4+pQclxfzDylhjJAPPMMFXyQ6V5+XxdoFb5Wo2VUtj/8pkkkmxa3IOvZIOrujV8QtzayS0ZKRB/
fRDSjz8n3Yr/pg/otQxERf4pbrzq5+Q4wcBu0Y9TlGgDTXLyghd/644xllXhqOnTMklQFMpoXbJb
vSF96FCNf0u7ibhBhJ4086HTOx+8osFIaKpMXBTCtDgpdWn5brbnEQFjMsvLmYz46iLl7ASveAav
G6ohrj4O2NyNva4ZloiSbjBcmPcgdxnDBNxG3btSQna0jJnhDg7eDcGzebW1ISxhIeaJ3yyMfBu0
gLFiTIE34sJyFY3zQMbIBdnHjCY0WmExl1oYWDEwMzPI44la3BDaoirx0SXi3i3Lrr9dKrh0UUHy
rhF2Ds2+Q5FUebkxWlVTgSV+c0fo8eJETtwNKhJ4cANiYKT43rg2/1Sh5dwMkwWeDWKd+jAmvSy3
DO3ccovL24AES86OFXaWDrY5JtOdp+whGNE1Z8mvXC0Tzm52F0NEdMXM+3EWhbNZBILDaF66er94
3XzX+X63hA15lSqyxs5Toawq/26yC2QLrsdEmLpphjxq9FY9RCkIGR5or7VDyCSVxdskLhJFvyDj
M8JMmGcHQ43CIUvT4eMhXbfbe36cFhhZoJHh3Ley5qLzTBpLKlmq7+ZI0nqoUjk3ELOGNoscrBMf
0tFdxNaylH4HpoFka8tI5S1gJp7+kHcAGnJNfqu7LJvCuVLTd5vE2Hd6Q/IqPqel5B4nffkmF7Fk
e2dp/INpgVHdii7wv9mxsbCiATXMWy9rmi1xwsunpE8K88qaweBeeJ3IfuQaSIUI49ngRH5uxe5G
E5P3aTKmkUGbpMUaFjTOeO/N8u++gae2E2Y2PKrYlPeMc+R3gpGXr+i7xJPZ1S0u50BIK2q9zuXx
GXlRbkZTH3/WU+apTZrqzjewGsnfWe6PQdR1nmOS0mAOYAtQHBwWOqp2qKnEF1djXMw/qhhib4gC
aTTC2p4MJoZpDyo6HfTmEzP27h4FEgslb5flumRv+AREIC4hTI9Vuc16P2PqSwTiikUo03e6sOW9
Lcvgy2ip2owmeHlXhK2sOQipkLhHzd6A/IO8k0B1c2lxgMVjyjRWmV+NYiG425IZT1YEGm6wPOMt
Cx3MZCRJoIMpL0Y+JDHplZ41bpEp+AFI+p6XJzHdodnQCuuvcBr538pxGfapnuJh5fnmYjM3Xf0d
7XJpHzCj93nUuTWfnjpTw52T04vYWsWIyydJc+N7Noj8I0BbaB0JK/pApdDzsVrKVoW+OfCtC2Sq
wR4NYsfZpPE4tKFd4HJnFTrJ57gHzLkxfLx8IS4ia1/Q0t8rvvZf09EfPg5WWScXNSvdDb3EMoeQ
/XeW22VIcx9Wkjc9ZTzU+7g2qiufbwBGYpJi9a3GcLTeCltPbvtqTD+luglftSK9+IkXAZKSTSSp
AELR2jIc8aj9nTGGn5nO4/rzl4HqLXWm5S3U6MuHFbRgqOQoq86bF1nmJJVZBdSHsafvSdUJ08Sc
wznxQzbGNsrtJH/jyP7sfGuvflE0PKuDhynTWdM+1RKt1Cu3gs+s6e/c7LbBFq0v3WacNPONhsWz
3sx6LcTV1MKQ4mDmnJ7FBttscDtzYvcXQRMo90sLLG7sF5EQykJxrDh4Onn8A1WPf1CaN/4qI///
DSr/G0eQmCCQHv1WGz0bO15/KVGNJ78bhKBU//qv/vEHOX9hUOHgzT5lo6mlZP/HHwTDiMM/zR2U
RnSs+NH+8RRbf1F6YCih2sd07HCA/7dByP1r1f/ToD/CYnV0539iEDqtQuiIM1fk1WVdrJRXoE+n
K8Mu5ahZfWJfBP1SRXHn6Rejb/1Zac9V0D56mDG4WVpw1FanV0FWVPRaPWoXQ1FAgEmxKXpOY7yx
yk9fYjowkAQNl50erfpa25/VpSOIowptVXxR+nzb2eYKM99z4hkvbD8evnp6QxK0KRq+Z7/96C+M
Nl+6ML8kozEQnOB5zh6i05hS95SuXUi9REZTps2VMVjFBi5Mf6F8EutbiDn3r1/0dP/4dbe0BS0G
qdjMGGycPlOtHDOb2ly7aGdDfNC8od3OjrIPjDSGGwRC3RsV3ekecrwec3iQwMzbVsPV+vf81s1A
QDovyeJrFxAiQHo07Y/KND4WrXo3+sWHMjaaXZmNB7vM31DAn0mJf10Z4zvDKUSe4PnPflcGDLGd
1EuyzzU9/0qc0ryJG2Pejp1j70yHI9IEx2anW6jqdANYf1fWwZfJlo9DDyxkFa3rb/QJXnj4eBLW
gppgGYiOZ38SkrdYYRFI9si9Mt6Yat6mgNYu6ySfduMQzH/mNfvXM2BvQVlAh52K+vTpI7kXmqq4
YCL9iSoFAXVdlG+R4M93A94glAYAH1nJqwnsbCH7vqxKNHnJ3p4F5nADSRJf6j+VCXMVHprJCQIN
NtSLsy+fYTUTMzCR7l0SDDAc2ZW6gmqYXAvXQRaV5JhKXn9XXrgvXJj0ZwmqQI9+TkrWZ9ja0m65
Iiewu84ArZSnhvfw+lVOW4vH32iVlOMBosrDLnP29Io0mPwZ/eBeK7DL6CJxbmfNNC9Av7wVtPvC
joOoH3K7CTaP7tH5y68MvCq5nu4z0LHvhWgAowf6RPqvQug1tw7h2NAW32gGMy1hmf27nbTe4jEN
kebfCsLAjXO6DHsT1aK0yvgiR1+tbiknzBusBVYR6abSvhttWznbEbhCDHJFr35ozBm0q07W2YGJ
Z4lE1E+694qM3mKzzNJkFmfjoiRUPA5a3FJmSXpggBK0W9yegrBtvGHTU0czH3Az+6YRntVEBdR+
+yqzKudQKdsZyS0MnPfYaEhbp+pX7hbVjv3YNxVANqW65MP6Zzfbzukbct4M4ekwcIbgG8Y5HfB9
1YwyDHrpywuzVQrwWoCbHnIeSg3HA3d1azY2olE9pjWx6WWrIQ7NNVFdiMr2r+3FzO51R3gPJeLb
hmIpGZdNNaAAC0HHmcHGLtbC1ljEJCnEW0tuUFd2DRwkbyw3lt8278EategU56qkeVMR/RUmvW1o
ZZh1fSs2etdkQC7QOYuPZM4W3U7yfpEwXw7+fJHZQC+3sFNLUG52o915moXPxpF602PIz4eK4kP3
Fuqt0U4itjakv1MQxNdOwD4ZecMwfS47u4NnsZTQNHLA7/nOQlDtRvosBONEzwWxZY7me79N6qfA
zPJVQ+0Qv5ZofQ/8wIY6YvXp/ElzfA0vVCHLNuJxAheZ/Ew9NBjUP+t0dWQ0LoHxQGFNoHUcmNo7
JEj1F8bVWh3S6pgfMCvm72INhLfqRvO7R1MDIUIsewIoqfOoNmrXrragr71bmXEY4BxbT5dlK2g0
zFNFx1CQr65HCHP1O0EvcImE6RRNGCfO/BPqcRzTjVnMHsScFXw29am9RRYu+wt+C+jpYuhqMHGj
U3xzHLNZrntxnVQrzdxCULoDq1IwYgR6F9aiDAI4V1hNwxQFjRHqpRTvJqf+gDQYplmr5B5GiOXu
9NbS7vAKU7oVfS6/+2ajPjRG7tPcKEv7S0+qzIOTFnD69Ezv8shKGb5EaZXlJK5JA19alY72ZaJb
I0TqPJvTLWea/J1qSpI/PSo3mH1DP11XWaLKrVJDNwB2US60NArO+7a0rLu5iPvHjqSWLIJvZqvQ
8zJ8xCLD84U4tHuiLJnyLeBd5xsaSszUNJYLH3YcwTjblADyPWYKD417ipIGJB50bghwbuVGZr5Y
2nbG6f3kkV71KWNUeZsYsRGHmpfKZKt1GW/kZHXdzQSXbmSFVpW+sZbe+dr4OvnoqaH56aYX+SAi
C1MZvcWUP4R4hDKPEFgFxXXL+PCjFjvogRwnm+LQKhvjyveVAKzpT8WtIEvvyleMHnGazYMIY+AP
7RVNSv9GMdPQtiNkp2bjpJn70xgz40EYc6f2BAXamDXxi6fb2TDT7KcrFvejyEczo88V8O+//sF4
4WRDwjKKm/XwiGzw3AgtB8rfsrbFfirt4jOe+pFlblXBjoGms0Pwr7g5ZV77QGXCQHlihyFO2yxe
vewLy1d73UXu/Pof9fycB+nIAp1rrAykZyMQ0+qktVCD732OG1dJLNRT6lrJA9tv/yiIot03A4RQ
p+G4M7Cg3jjtPf+Irt8zWAW8K3QgzzOupSZjJzXsdK/Ltr8iy36J4royb4kz8t6owJ+fCriUbTiA
N401uO/sI9qKXsfy4aX7qZq+r0ZQpjBtefH643zpIjbnZkbdyLo4VJ1+MXUHBKBKuB8gStU7zdPM
sHGr5cvxKn9UX/+P8t4TEfCrcuH/zip8nT7/9tCfVeE3X9gu+7Mi/Nd/9K8i3LL/Oh5XsLS661np
XxW46ax1NhO4leBl46D7dwUOuGtd/tAQAurigPr43xW4/9eaf7Ce+wH308BhqPYfIzo4Q7ED8Lrh
50L9xqFxXUC/1VWm1VqJyHRin4rW2M6EjV5OU9ptpDGamypx/O1vz+aFYnVd1b8f4dZ7wSuH0pAQ
NS55dkqFSpWLRnnDJaYjBRvBWGj5j80umPu3zGPnp8X1UkBMsG2v5ApMtqe3NvaFX4xaPhImO/W7
0gI7VaZBF+WWXLY6OS9v3NrRmnx6b6RS4HOlmcGWyuz99IJT4/AJX5jydUmBP4Pc3+GGIGvT3Quz
L8TWBbOpwmFE2xJqeaDv4lb19p3l5YhYx6JyXbKrq7yNqkZxNmWIZhc70cuUoT1UI5i5AykykZfl
Nt9VpKhlbCEsqTghRWMwpV8cisLPTdJOX4gsww3Wxp0TYw4Hbcb+bRt3wcgILrJ7fflRaP1swOT0
zQ/CL2MQxzhYmn1dznMKjtOFZ9WRXLAWSPn0uSi70f2Y9iXzj2Co5GXOxxu0meMUBB9KbY3FJYF0
2GPZmaYIMLJ/k9rUpBHKLL5cehdwamUmVb4zbOF8S1j5Vz27bcRmXF3BVdCwDkEz23a0cOW2yJl7
R03g9FbIIc69rOqxWvb9upgJqNDLbzDCVkAXbJI2zBLAoREDHVAedTfb9/MosOA0KIpEmEp+9A14
fW9bMKO6NqXVaFuhgf/dVHRjEAGiIazIhgk2czUG1c6z2mSfCS2o39iNzz9u9FqRxlE/0xkBDXJe
CNL8hei1KOuy8Kxpm03glUfq4b9zRtQ7g9lwOAe98dDmqfWA58t9Y4Ge6SXXl32FPvpsLcTY0fI7
E/DEoI2tfPGsywpb6xfTyqdmYzVBsk8bZrEJv6Ue4Z3q3zF7sC5by1RXoiHlaTvZAgR5zDA8nHs0
zBGsaRihr28Nxx7O2ftDjbdulSSD8cKeVebSqYIkm4V9mSnfDnvJ8NqJWRcg58SG0UEdctRXNzXT
jL1DPOtHTc3k+nhlufEkdPDcwfdXvB8wqUbo6uM3Ht/5t5SnF6x0GnfV7WAiOHu9IUSUk2831mWN
Fy1aWMwHYi7nNzJBzowKxx8J1zp0xbXfwrdnLb5/35EbhjgmhshLwQwgCycMaHHUCEFihK1sG1B6
412WlXLVRemWA2bNPLbGPYmlw1fzLVbOi38NHwY+UsgqufF1P//tryFOm6n5yF9DAlf/pGGxbsIF
Th7H7aKb4N+t6NCp76Ud2hoj7kKAJb/yxwEdWsWQ+i2JzJmUen08qB6xmZOZxBmRxXL6BxFNYy8E
d9uXDMyhRWoqIF+1XIYnVTMDivTJyRP8rl3yzkiC7lJBAn6yVSL/TEh4/DtQVQE3oIfAG32+GgK/
B7sXD/ZlHwf+oUW9ENpdkB2y0i/eeDHWWzp9L+jG08UH7QLgha7r6S1bzpQqidr2MkuxmVtmfCeL
5nFcTIZmg3hsNZCt6DveWIjPl/s6FQBOASSWRqO9fl5/++UrKAVjZiXuJbI4OBxtGm+GnkLm9Zd+
XT+n98atIQ7CPr+2x85bOnnZoQ/G73QJKQJbZUNTobMTJ2xoZr3xGI+arbNrMbVAeOfQml7Xz+kd
4RItZdAo/7LpDB8FjLZAUMR3A5KfsotAYDx596rxyp9JXtSUpno3BmAUZw0EoWxUhDkjI7rA8D4W
nmd8pXeQPKVSlvcjSNI+pBOdvWfcOOBfTe2rUbOvB70ggjtLpfHBa2cSZTS5eFe6dOAODqRtfrOL
xi73VtXa7QFnoX435B6jv0Ay/g7tSk+9TZKZ6fu0b6b7ekyLdEevyky2hV53976Kg54doe8KJCyz
x7YoE0jbsikPftl65YaEhRQu++Db+wC7vrGFj9++1eB8YedmncCntX02x7U7d/pkp7U6RZQUXJKV
k8+h2w2MhovObp44xJZPOQrYEn516qzg1YRZfjmh1Xey3kGh4tNfMvOGZsZiuaDnUY+gWmDk/7Vl
+vX4+np7fijk60KlDpGRiug49vp9VY8B42g5VvElyc1GmNaOc5fkNOgTo1s2QA2KNz75R0zR2aLj
g7taWiBkgMg4e3kN3DKJicv8Mk2yjGjozutZLql7HZDa+cT5qZ040CjfvLCd4qK2cnjdZheYt72p
Z3+XxhBs+m6YfsCalx9ys8afDCZt/DqaortmsBNc4AteVGQ3aBn5QKrhYCqEGW+8PEe18vl9UBcz
KmQguAban/7ESN5IL+WYdlklg/GQD4W3UaOsHxvHEPtZq8lF72rtaulovuW5DWafOPpdk+juZ23O
+8PrP+OzzQnIyDr48Gmo81vqZ5tTN9cpn0EzvQK9l0fG1PYXEETTt36853cNn2Vl2CAkWWmJ5zJQ
r3MyvfQzeVUHdbLT7N4oI+G3PU3EfjC8bTNapQd1AZPWDkSDfQsSPSv4Ng7ig2yV94N/X34HIJVd
6cUUf20QPq5xBtZ027VJQIip6WpAa3tXmOHYjdocYtpuOE3bi4C5y2Fx3xTYmLf+eiSOwANAcjfl
iPSaiCgM78DpZRGWHBqqcBBxPm/IyFvoxdOJ/kG0gvY4tXQuCRBlKBgWknLiQ0GY15MW67xtbmev
0ZpSr2WkF4JMdjMzDQwU08B5Wc42k6Uq3vpxHnzs0oHwdG/2JA3XRemXXT/wx5fFWIwRpxm2VL1N
N6M2rO95QNTM02g30yOyT5VFyJyYkIGXgGc1Fx5g/k7F/QSk2MjXAICBrNpk1mw7NIf+oE2I7kKb
rItdpmfLnT4kGQHsyhXeTWar/HNbGxis3cFpy0iRXlyhXxWksfAugi5PbC3SE7+CGNaOwY8F594a
CGP2ZHoJvSGcfK6Wj2Os23NYihl13OCnJZ63YlDDrhmX5H7QJPmujps277PGzR+MMkaNOGOEeEhm
1/8Spxp3MtY9G3xfpOz6yaBjkfVGMNJEnKSfUAPOHJ2JXN/AUghuvKLnyU1L3W6rRaR/63Cx432Q
uwhPehJ3+m3L+DF/bDM0LqMR52409P1EPkzZZlut9vUqQhi6TuDmRaMxJQKY2Iue3ozK0ojEIWBM
u/ESuepZY/A0od+0bn45e0631mqlAY1MMzv4E1JPriXy1zLkHM/lky5IPo+2mZobzvdJupm01LGi
vB/9LgSLkRLTG3vqe6J6zwzpuzXEVEw6+IO0NKf+opSZnm/LSVwkVrWODfjHiVLwg/JyZuDdfkzR
J8aHQHV1uqNMzn0O9DW+nLQ32zysZ70kf6aSVU+nfKClS4E44o+ai/nRautAI0GmJZuAIx0JOqYb
e18TqSWkcSR69w68cdFtU2O2pijXi+7OSgLvIUBYrEWDQvIZ5r0vM/hwcMlDoAjDg2ki1r2sFl3c
Ty2aldAEo5deWJpqr1PLqRq0rgoSYSoLBTw7aOP1/wJQYFtNRAqRt55aA/0Ei4ED+AxkuqB4pvXu
Z7lhUpx+LxiH76bSgPwwa7K6dgffGfZuM8t3AN8YzC117Fzm1OlPjgtsfOunQYoEy55VuhdBkRxI
4asQVAnHurXlQHKJZAK+X0wn/iKJS3o/Tp73t6G5MaEtdvvp9R32+ckfwQTeHzT24IICxrGnG37a
mnM5m1V1BSkd0IaQ2rbJlYGEYc62Llk0h1bzn7SlETeMGpwtWkfzwlJkZ7z+hzwrmkmgW5tT1M3s
IfSpTv8Ow1Uq0MdeXjma223KAtyDmp0PlGqsD8SjnsJL2crqnvv49vqln3XIKZPxFzq0Tte63T8P
TXQUXedm1uX/4ezMlts2tjX8RKjCPNwCICkKlCw7jmX7BuXYO5jRmKenPx90c0yQJZSzK/vKiZsA
elj9r38gqsXuXUSwCF64JT1iTGh6hQ1jcI6T3iV+tMfTVli+jt+lz5GB75wxST4tlGLnddweSSj7
AP2QFVGdcyfYvA8N7wtnqaQ2aLRUfgptU/jKIpogKe3lI/dg+S8YN6+KIarPIpXSY8bre+ggPb62
RMrs9BBurib8GAhH3IBQVVlMl+uPk1ClIjGXuqDNVOs1z+oOTnlETIy3FLoEa5ZUMw+i+mif8rIu
9J3hb6sr0gnBfAxoTwrEhO31tMr0SaK32ge1MlRHJcWuZMRw7ggfKoaKmRqSn0h0bqXCxufOtqtL
azvjh1mvSOLJsvQIROWwO480/pXBmr2sscyMyFg7/KQ4uHqGNWiHQ9WG31HeHMYycnaKDItXdFVY
8f6QBGHdgEwfFfLmFc62BYUY15xATwdxGnosabLR0TxSTeanEt/TMwyFPc3+zbWLa91qFoEvLbIx
bUvf4ZYAzyLJBDf1NH4wTWoWmnj5g7Soyk7b/s7zYeNJmKuOHhX21frnv90jE1XSRr6fCGhx0FGt
wX57rdTdkv6wP1W0yRLRWof3V+7dQZHUAyO9Mcs2FxJZrVGqU9QEmaXg2SlM6QKWPQQDtgsHtmDM
WZtW2bnLvpEmN58S+teaBwgNbJ2V14+axUs49yr8q3iSA1HKF3b4/tzrA21hrUZxO4+c/0Y++OAT
2blJrY7lieGSXYzyUYty+ZVqhYPQzJcDTcHkKzkOhjfVenqsMiI/Y8nMfNHQzYczCfMHWP+DQMwh
ycLXRuW1n8PaHVbzrfdf5+0y52lgsGBlDPcPvtf1g8UJhqZaZlbBPHP8h93SP3ZyNxyypsc/n640
rXcpO7C0zJ17x02hv/bH1h0YmbexJuVej5xnMdVsrg1BJMtfU62TjqgP9uwLbx/PwoVllZ2uPB2i
V64HMctJHTttGgM5bRUPtxP7U+UM86mM5m/wNXLyLQgX4IDe9e5dF/f1jMEQjuXHPQZSG12d65HL
SFfDSRqnAD/M7HUemxa5CaHH7jyzs0Jr5lZK6FlJnpuwHgBifi6GnQRdmCgPmkKsiA3J5NyPxnAS
iyUFBZelsynS+pSJVkIvI1m+ggxnZ3ndfpW1WUTbiB47ENgWkSJtC7GR7PCz6yiDr4+hc63I4+n9
Wfem379+O28OOOteBa8J2e7128nrzKQyiJdAbyzuuW0Eg2dA2JFOaXtsFjKnrKTvn9opig9DUphU
kEp7XghaOklJrxxIdNA9Q2vmM8bb1c7MXAff/DgAD/Zt+lkgWFtvQkjrpEuJXg3A8YtLYccDqoK4
foH7OPoDtcxOZ/wWZGErg/+45kmAQevb7oFkRKlZq4UWIK0wA1j+Mr6PZug3FXcbJxNh0Ja5ds7C
qDrOg2wc+y7NHxzisPxypnE+YX+GQZ9V/JqTsAuoT7+9/71uDxX69mwSKnpTGWriZq0aDWkhadPp
gYXAy1sQDGBkOMXPXY6Z9/tD3bx8tva1sQchkRY6NLTrmaEmjpQPg2EE2VJ8F+PyamXkDcUCGsyc
1Dtl4M1zrYNBkcChRIZ+unX6TyO7JtOZdx4pHBwKfYqzpcnVg4Z/79P7z/XWI7yaVW9jATlg2QO8
sc0pNgan6+dRMgJqmcFrjFA/DbWJr3gSag8qtb87o8c4xlY0/m3V6uzPIRjlRAfgOBkqoT455Hrd
FPkltYbG1SkvHlvViT8gd0i9QU6iB3P6Y+YmDhxwgSGYc+AwO7dnfBXhhxb2uRUghJ8f8tgwHsgt
2CMz3BzqsHBB27W1nACT2fJV8LHrponkpXXDgWxDi6p0qn8mVT4bnfMCEer1/Y9xW2ozIIOtMRYE
XlGbXc+yQqrJV6hHK0iU4blPGz+t5keJ07UeLg5BgoneHrKCEh8viWerJNqztrRy5+y9/ysoDTl2
mYJkBV//iphI0lzgvBugmDDOAt/FYxVORjDliIBUiqsHOq9FUNhYyJSFNaBgLyafNvvshtbQf3r/
pdxZDLAW6ErSW8cy8G2X+q2cSzMJ/85QWOtiaBC+RhI0IKf0DEDHnf3/3lBrlwcvNsoPvJKvH1wV
TZxKFnj5GhP0aBMJxjk8T4dyDJU/3cz50vhTryx6+kscKtdDpVVpqWxaVpCLPvbA0WykWGt2mZMt
nxqrNv7DeGxcXEmxAOc1birFCHNHU0SJHWSkg70Ia4yfR6eJfawfY982Q3VvEq0V2vW+wnAal2go
7Fxkt4VGHlZLTs82vbTWFD42atv+qIo+/NgZhvQoeCdnkqTjQwj5nkrCNo6JJtRnK8vGnV+yfrTN
D4Ecs+7ezGeavZuPWihlPYxEslxkrrje2i70Qdv2nvd26lCB07xiEMq5mwIFaA5ZTGSkl25qpwNa
l8XrB105cVncc816c0zaPhFXNw2VDaRoHu167mixmNUcCeulLo3lQeupxVNHq4hTNkegzibE170R
40FChE6IgPZXVKeW2+J0ddFbrfCzsCi/praaPlkoZbwhtIVn6RBKkZvKJwx5e6x6FPEdNGKv8L3d
UdnXVP7Hel4L7fU1/raY+8IKF0lqskvZmgIFbQt/WG4bVJ/kfh6iNkcCjkn5HhHh3tcBTl8DK+gs
U+NdDxtmqiQPSpddQH4dt1bNxBdD3blVneSHP92u1if8/6E20w2tQZxl9Zhd0BQ6a7ZrDsvUmQ+E
1+25YNzWJNdDbV6mkGrRJGTVXmSj6i7EcKgftLpvXwrQOS+N5Hnn0e6tJHrh6LcMyFSY1F2/xdKq
+Js1xpuiXnGjdGRSEVnsv/8C7z4VHFvO65WTthVPgZk4ZLrK2QXsX6KT6ZymDq+XxHzqG7IT3x/s
7sQAUVo9MdF3bHvOxAkbaVtp2WVMsM11imE+hGGfPNrpuDcx7j4XJA6VMnJ9ts0cFBOWxWyXGWjv
8pznhNdP5WMfKwb50OEeq/XuHsGOwyEOaQ+PF/X6W/XDTDydyLKLLWrshFUSmWmuXPRRonsBWvFh
VDr9UC+l8tC2c/g3SbyLH+qT/dTrUfFg0vB5copZOSXl1J6nRmDSLPTmuZTL79j9dA9Dqj0vgxH3
O9v1vR0Cusv6ljiuSOa4/uGVbGSKVuRM6rYF7VTy8qOZjeERlwudLAWMHx6Hbvd+eefjrEgDxRd9
PgC+zahdIwZQPFbt0uUIy1p672KqosNikehZ0ZDaqTTuLCVkgRR4GqANh91mMpixbRJcxFJKxgkP
dAFhdqLpurNg78xuRlnZNBp1JVqd63epzbLapYqSXWKRoxAPreVR1kP7gP+7tbOQboFR8LYVtV9h
cENFmng9Viz0Io/yOb84klR8matEMl08u6J/YnO2/6rrXHqYB0dMXl+JRvYyaYbqZ9nVSHFLF/Hf
solixbPMpn5RLFLCIfok4lNqwtcUmBv82zel8yxS25FcTUjWv0al9R8o23GM/OMtARtaOOqsG+ig
W4+/pZeVHj9MXtq4hM9ahUzF6GAIjqPU//P+UPdmHeQFbBGZCysUdP3O0kmqk1S2s8ssmX9nGqTp
XtZ9AlIfiSjdmwx3FhbbgQOihjII1tvmA9VxXIDal/klJvf7aCip/Ix/tnRIpYj823T8ocTVnojy
3jRHXgeQwh7Lat6MaTK50XvU+aWWwtzHpn5Y7Sr0nRPj3jTnlrK+QmBtmO3Xr7GOxyrp+iq/JJX2
POkSmk2pIYx9jrKdBXXveSD0vGGTDutq/fPfyhdhOI00YmxzkZZs9DEFm49zEU87M/DetLC4+kOf
h9tLDX09Sl5WhAEYdn4pnRa3CCu3HsZBmVxpbOYAb0N15/3dfSpOOkgqKy98y9K0OGgr8oTzi05h
5I1DS5kMcuy+P9n3RtnMBUoGLe5tM7/MixBH9HzNQe/pav35KCtohUEnql1ggut3Z0U8YlzxLF2d
hJDU6PSbgib4+6PcfiGHBhCHxRufnnrvehRjbhaYB3IWKGaqnSBO/Nt3c3KETpo/t1yLdqbdneE4
KfBMAOh4+0LXw5llqQ1S2uRB58CBzolAO2CWJLtkuucHbIr3BN53EAAMW+n5ETXztjdt4HebUEuZ
pPY8GMKmgexqLMmHIWmqQI+m8Ckuxa8qmiy/UpLiDKmE1qSWqSes98dg1uCb7Lzt9XVeX3gcaplV
EI1XBf/fnJYhIjqAMH5Ob05ATnUbab5A+pyuS8IsSUIRCCmjvCt+dBICh9PUOmru4feE95VSOcUv
VGgOnLo+TM99kcShG4rMjryuTBy8khwxk8uBV/8BjnqKgafD3LG1Tm88ZaxrjEDM6acWVeOLrDWx
4034hCBIHiSzPWt1srySmlB+KSuJdtbSR+5gDkRb5PCWHjMOEJLHpWmJ/AUNoeUhiiwUt7IXyKx1
r6EqVfPoWZCEbPhOkqqTT1Kh+r9ZwxjDh18PaxzvsJLAwymchItorv5uNiNsfKNqTDQTdQVHKFc5
QI9EV686AKg00ik3S1y1yBV0/setp06htcvaP3Um1/JRlWa6+2WILSq5jViI7kzYm7WOywMuxyuK
rgOmb+H6oXDKdBZlGgxTp7uzRd5F5uS7APW6EV7NC9w7Qeio26G2Y7q2Hnm/bcdt1S2ZpqdT0DhV
cZgbpQ2I6qDcJWrQHSIYTlpuVie1NIYA450Y74Al2YndvFmboDdrNc85zq2W/eD6N8StKNl06Ng7
cGrPEvXEyl2iW0AwyqNhwH15fzHcHHYrG3mlIa95uTjvbrae3jEx9VWcJujWLJfZ5jumRaieDDne
AwJvvyLF6doLwYOT7WdrliFWediymE1Q5eqPzsh0H8LkvPM8tz0XHogCAUgEyxAQgc1ekxWouTHF
aoKWRJvLkpOn4VUL2w/na0jGhQq3b3A1IPG/OiM2WdAL/v0EIZFIGOptmfkjRe4vsHGIoJEqTz8a
bMM/v//Wb4kZ/ErE+9gbc6jA5dycyZWStrVlzm1Q1EI8k0o5HgAK/bb8oYyWelRbEXpK3sc1a9qK
TuVk5/9LYS8eMyoyX9TRXsF9Z96xEa7ePci2sDLZ3Fhmbul6Q3p6QCDYKz7q/Yewb78Yta09ymmc
7xyr6992vdK4HwPo2asjBuzHzSwflzbUpSTpAkk05kOppcvj0iWIMat0Tc4lMCRsvYqqiFwfZ+qI
67IXeec33BKEcDOA84EFgK7SBrPXV/Lbcu/6xpAlKPABRmXo5MNSH3+NaJleSXwWuW8NTvUXmgyl
OxJROb9wbUs+OFZHZyIpjC/vT4jbC/b6Y1bAjyw0nAm2sCLCpCrt0nAK2gWmIHtxpjZeOpfZavFd
LF/X1tDsLTR4Ndeoh7oiz76Z/0ZWjlGKIbrFjZDKaS9tJXefK1mrFcTaCTSFJcvLH3ImGwvgaGvK
XlXhbYU5cuLphVH0O1v1TSuaNgMbNEEAgNCrTuj6pZaaOSvjZA7EZA2tpxXxv3HSWUQ09qofN3hA
6vISXUyNJ33/Dd5OKei0HBIGaboI2Ox1o/vta7Knq1UUZmNgIfhVtMQt5047KxkcuxQvS6/KhXwQ
tbIEk73zzMrNXQjmEMU18kN5lf1ueRMAwlIj55wK3dgDBRtCkGo1w92ZwkZ+VXE+O5vDqJw0CgSU
5ukg/S3BVniYFmlRfHvqksccYkd4FpHdXJpRZocKizTPzgBX487ec/uFDH4j0hyaMRw0GCBdvSiM
xXV8U+c5sFJbWovmzGy9ESME2VWl0Y58WsVl5Vo6fiZeA0FqOL7/pW6PHMyDQQ+42QPlM1Ouf4CT
2ONYK+0SRPhY+1FP/8+Rw9mPjGpnVd0biWOAXZaL3Co4vR4pWqZ+At2RgzIxzId5qdoDCyM6KdWk
n99/qDu7CSGS4OfMfrYTw9o8Ffl/epnNtRJYuRH6klJ3ngVJ9zggzXvSk844weNKT1Y2XrJOHp40
ZSifR0mJdybj7TrgdxDdvIoZaMDeUP76PMS+yZEDZ2zth7qJo2CIOjyUxNBT3ENbbuq0fuTuC/wl
BnlnGd59D7hsA3qtGzsUi+t3bpF/0eS1oQZZHNd/Id2tn6g/W/wuJUM+qHFdYb4BPtZ5VMByxfen
fvZNpRi/RaNQ9qD6m9kOFMvdlyodFijuBNv6Ri9jeyByMShwMTyQNFi7NKZ/OeRZfLa02fENEeof
oxJi059OCEiF+EoBPRNsiYPvZvItvYE3pKRPgVkq+gMZZtERVYnsGUa2+KSfWEc7jNoPXWVVPkX0
eJ47MhZHS253FvxN3cVuuIaEkNK7prNsaQ2oYhW4yL0eSGCVB0Qrr3lZJDuL+raiQYwCtQppNPgM
bchNRROZ8xrLm9rMfziJmCmCr3qEEGE3OSIJ+Kglc/m9isPwi60PDZ4fBX08mPDtEatgvC77eXJo
MVVyvHPOrxPuqtZYfxgxVetvoiLcwhHCFpi5oKUOJt0Gjo/k/DI4TftkVCnaMCfu/T/+8BRL8EdW
oaps8OmvV8A4EiIJfccOerH8gmRE4IxTC4pQVtxIV9JvFqO9yHJiX+qaGyR6hfAF86764/s/5Pa7
k1uM3I670wrWbo2i5Lqr5bgvnWBQywzVtYnTbSn2ImhuPzwOw4xBqb12V4wtySkyFyMih1ENqm42
D0aFr4+BnusjornSy8vICmpJqfxJH6PINZS6xWAsl18GpGBuNvTW35jVWn/8DYgk41IDNRThEvNy
s/jQDgwhKT9GMGdgGoJchh+5ZoBT8hpOttxC30/S/gJvtHEjgHJkOKvH7pS8vP8Nbvkwa7uEKyts
s7W+2yLzM8bV8ZDYWpBnkfkrLidxqJx69jS8W84EaDonwr/jU6WlykEme/A4mkNNYWAqB1tP/o0V
uT07IZbUWBunj3GKIqMvLeULGeMxIdumc8Bhac8c77YaxZkBMy4UX9RS2LZsFrM0ruAR0YGBHFVD
72rO4ISunBX9+CEse+s777f7MWP0+YkNPcXwR8Mu8O22hLhBKobUW5K1S1mYUfRzaib1f9Pc5r86
tVmSs5NY/SfkmQTiwhOOepQUcgNYqGiv77/8e1NzzWNC9LzeBZH2Xa9Em3SkBljKCOzJHA9VRPjt
3GbLQyGVnW8PZvRo2dgoGJLIgzKcW9+uNemIE6jmjsU8fKsQpr7/k+7NB0jvwOX0jSnxjM15NAEn
Rqq6mME8xdZJTFr0os4RMkw1lBNXj1H0u3wVx61UWmar1wmu3Da+Oqkqfc2aoXiqq1W/1iRzoNdC
uyR5nXzv8Zd+mpYWsEayvpNIl+xUFTeVFCcnVQVuTWDIaEO36ynNMjiTlRTgU5adujnN3LYb00co
Rnto4U0xTQIQNCGkcRzXcCA2d8PeSOxGCVMnwJhKpedTque0aU0vasbiCPwk+4vT7Wr31xl9dUow
Km0F7Eyw1AOc2GzaTtG3XWnVTsDHz1FCx9hV62nh971l41PW2cfaHlu/XiLxMjuDesRY/ufO3Lgp
3UAluQ5TpiAQ5wq4bui/XWH6rkuqGROJQJNXH2SQzw/EhS4vqb5gLy+vWK0yoBkL4/HQh6PwMgh0
p7lhupppIR0kI41deZhySHWz5ZqlLT60ZtO62mhJLi1p+dFw0pyehqadJZMuJNmx2HoAFbpk9gJ0
TU3pJWz0XtLKg78O+c/7z3hbHq7PCG/o7SiGmLb5uli4kqBqjE5A9HD12i2T9aAlTeEVxQgRa4ra
Z1OM/0y6ER+tQdUOqJryx4rY3Z16/eZwfPsd0PlwBYCbtmWOFPWYRsqgO0GYheoBqZ92cLJJ+y+j
cPICsDFvbmhZymLxIlvDCQoQcHeUQt1tHXOv4ripcHgWJg1mt2/i1i12M8kDvlIg1cGkhsLjomn7
naSbvtqS9mEKEPf3P+K98aB24n0Lg07hua7nqVVNDjoEyF9tkSr/xKGs4UCvsKNiyfusRmm7M94t
pscDYlTANg49CW7p5jhC9gbA4bA41SSL5iMu+I5n91X6N9KptPKtPOw+NPpov7ZCx/7N1hq59OUp
gYGez8hdvakcSRuURh06uo7ex3Lxayl+vP9a7k0p0E2W7lpxcuhcv5a5ElCn+sgJGuwvvLYYp4O8
9NPOCfJ2Y9nsVNjzUmWT7qLaN+ap+VwtQPm6HSDXJWCwL1P9O6pSrPurbIE/0eeyk2LArSv/tDPs
ev6Npl38eIqiRw52tBdqlY17rcxbbxY2a+641Lxg52iBNmcttx1BH51JWKFz+r6ym5Ha9VP5AbOe
WXZjfXQuWtvHGBKk6rL4faWbeJ4QYY1vgBaSsKZMnYp4AFvtKNKUndd25+OQubka7wJ7kDq2+TjE
o9OA7VsncOaEwIYwrA6RU3Y7o9xZGWzdFJyAQIjKjM3uJoXWWKlYFkNmxTQyDatvIlQSV9HENwXZ
8d4V886hxXAcWEi5OLrevslvBwY0eNwQcGIJcAMkwyDNTUKUcbmNs+K7koRPVdfOh5KD2xs0ODk6
l433p/y95wXSB2EBboeFtP75bz+AjOwYsCkNg6GkMZPFtnFJxwR1D5GMp6go9zQLGPbyN25m/9s9
A1oziC0pU9cjRpOMiKZM4ks72UuL8s3WiS8gxYBWVlZqH2OyAlDfiiQnRxEvq38lzarUM58lfjWd
2E5IU1Hy11m2eiI/Kss46I74GWtmG3ELD6FJFI08qq4DMI89o0liKVNG6NBEol46kpbDg0q9PT72
StrgjxoOU0W0g9GfHCdTTlYhS58XDNcyF0vSqCHuQtJ/Ou1E0jbqOYUm3RhNhGdOjrjUbaE+Lbo1
/UCOMpJ8QpDHmYsW3bViKPvUx6q0tP16bqx/6kW2/465xxdun4zVX9kcdrQqEwekXIXr64EJN6PX
2FVd81/XEdkbFPmxl0d9SeNOz4e/7LgnDr1uOmxDpEj3FGtJ8dDq5wjvCKuOfS0lx9OfMBzLvWXs
GtlXwiSdvRmOzNeK1srktVKafGxWW123d3onwexzNj415TKaXh1H6Xlsp/JnhGqRqNm4/DoW4sFJ
1RHDZUV8c+p2OodGZr9gMBp9t4oIXpikGODbC14AhpT8NHs8Rq06i/4nwwEf3CheYzyyELLviLvj
aywjTakdM+pdwDgOPCVbphk7HatPvBKSRukhuFI+vz/T79wl6BTTWWKD5yJHh+R64lHMQx6qWNph
mhXYALQpZq967DelbaBiwj9BQ0PG+1ICBd/YMwn3/SGzteVlDkvpuRCdtHcs3tnTYFfwU2CYG5w5
m7WQjTVpdnEnBaFRZEfmrYhdTRkRzozt8lErdPNLaVqS75C+9K3vcZXC3i3/mVcR7WY1itiQ2s52
HrIuSfZgwDs7A6gbolaIIDTat5SGuq7GWGkGXKntsP5U1EOY+NiyLh9yGv8Rhg0OCzRWKB7cqUCd
7qeDaUaeSte1w7/V0DpCjkJcZNvMVg8tp0XkSag0HU8ivEPs7Nt3rjfgJCgCMMECIdomA5rI7Qek
x2Fg9n36BTW/frCcUWAsa0TH9yfSnY8Go5ukT9YxG+fW/2nKTLPR2bCCcdajQ0I2t6fr7bwzyq3N
FA7+LEJgP6pbQL/Neec4Nb2vVgkDkTfLR3lRy3PpOKc0jsRx3VuO6iiwppP78rOi9ygysPHYeanr
iX+9VXNl5DFxuUL7QVVwvWJyuk8YrBTRZSkk82AVKiYVhW36w8TKQOYTn+UhqwM7RW+Wy5N4+NMX
vRravhmHUqTi7HM9PJUFObUYZl8U7vee0zURpXG9RxZbl/3mITmkUPWgQ6b+3oJ9WAKZzRCb0YVZ
rZxbVE8nWOeWj6fRiOFCMZMH0rV/KklmRWFhg1iJR5R5ydePNixp1EK9h3+fLZ4wu5/GTMpKIrqz
CYLq29KOqut2MTMeTRv806g0uGlcj5fYOQs1zOIL5Z90IoSxe4xy8phoZupfgB72ZPH3xmNxcMdY
kcsbj7QoE9JC7F50MTqL1OGFOJxa+RWa8uAihxh2yqg3DG77DSnaIZlir0XEy7pkf6tiJgthYtWE
UoBOyQpwaai/YcZmfyoTbl1HE8cn2e37Ietd/LcVEqy0rJePUWcnp7ljM3psQ6wWY0LKSGZLtPYV
w5vCHSOrQA8fTo7sDqU6rRQyArFyAp0ODaSrA+Vo89IQUXbuK3v6wa48fcIQT/wd0olX/G7E88Uf
RGcTzzZKUX/OOwIZXBYVNb0DyXvnPdxugqB9tDE55sBzbzo3ZpGlOEfWZmBp4RgYyfAr7Q3rMVHz
nYvSG/K8eeGrCyG2JEwqxEObpTk7nNUDvjGByOAUWbMmfY9tzXYrbJDiPJfOUYOfvSapLSaCrfjU
6W10dIr1FjOn0RndfH4YmgzXBGgqXs0KPKGTTzyyNfcA3DsbKT2NNRkFzAK5zw33qJExSsIvMLAj
+TKCSXhFR85bnffNpVDa3ks6gMI0rx6XfBFPtpKKPzWyg5Sk2TBm1kRsPtG28iATxJzGyg6KUUkw
vTex32cv3/n69x6UABtWHcQUaFZbiG+h0TvUqEhRqrf2JQn/kuOZJvqIBRG4/5NdQEuo6r7/AFra
nOdJW3bqmduTkbsMiry1Z4EIcwsr1NhG8q5NC2h0Lg9RWbaPlWbvnYx3RwF85eRF8oTS93qxkzSJ
S88U20HVpzCDZvLj00oPd86+OzsYMBmAD30DRNbbIPFWg+1IbWUFIhm/45n3cSIiE+5Dz7SusV36
46OOksJhy+RgABjYFIJxitv8Eg12gE2v/dCLVDtUkrHrD8yb2axa1Js0t1eOhYWM9frNVYNa4JJS
20GIaHykyA2cSfk8Gxw4IDArE9vw+tgYX95/uDuVN5DKKhxdH5A9ejOug4eEKSTVDmBXmK+ztJRf
NBnmuY+HZXcuDauPfK3Jxq+0U3Ae446ViqMgXyDxZEWajnY9ici1YHl+f/+X3ZtK/KjVAh0sBijm
+oWMwi67vF/sIJYkBTghmj2Uy/ZOHXNnWwZw562vahLu+ZvDHjWb1YvEtAN9IMxOQpN3ymnCuNYy
7l3n71RsIGzw0uhMrA3j9YF/OwjTUJuq1UA/wCD2iX/HeilsuQsE+lw37GtxYZdVXcxtyTzEeOXw
/uu8uwMBlnJrW0N3AWmuh+/VmcQI8hsCbk1Z0CtNeKq1KPFgXNcPYlFanJrtXy28rEtGHIoX91V3
ev833Fu3+KECprz1i7f0y6RVhDJNox2YdkpGZthLT8ToicMg06ec+vrT+8Pdm0E2TE46gxwxQP/X
TzyiDQvjkIW7DOO4ejhaXrtUe/F890ahHwrF3FqBqa04uE6ieDQa5ik+g+OjVKKTRZm8V2/f/XwO
ux3LlOPjZvZEuCeR2TKxsw4shy6KRozAUTPIQ6K5kKae0to2vcmSywc1SYrHOJnS//D5WCKr94AD
NL29XFVq7YB8sFWQG4nBSKf+HOR+eZplTB3MWNeO73++t0J7syUCeEKgfev3ExB4/f1iklqqcJHp
ZtS2+FeIKv7Gz8pfeqfTFHdZAJy9wrL64rlpBNmatqRh963W9UKwpJDSF1WutC+zMvQOsarRhM9O
luWfHSPNv0S6MX+tEMF8hVg9v+hmF31zesv4jpBf+4g7yitNAfVYEJ870FUYq1MoqRYUSmQdA1Io
s/ggOyV4a1VOWeH1Wb5YBxaR8jWFOjjSe9fVD5MsgMh0W4CWJQXosZIV+t42eYvZIS3mwuJgsQpO
uZ3lhJlYS0+MSSCMviFMpZ3lL2MqGQfVIWClXNTGX94o8IbS1n/l+ST3xDdrEN1x/MvFqRgLWQXl
l4h+0UryXI6NbHeUzXo1Dk+m2o0f5UaWv+i9sDW/WlJI6JZnakSsuOinVYEh4oDVpB5Pk+lHI2aX
5Ek0EAO0US8/kTLdfgAbXb7KaHwelJZE74MJolUdM3i3hiv3pnycu0X9Mgw57PuubARsHQTwxPRI
+b/vT6o7SDrMSXZBrlw04mi0X08qNbbKLI3Y8JPOVl80dVCeepUwVAuRy9FUBEctBnznCOcvTzHi
6FARKnrGxiHyey4hpPtE1ouBzYP//g+73UbwTeW2CVuZrYTPef27ZEm3loreT2ALQrOdFG31Gui9
UzndkilX/yn6sLDXsIrmXn09TJYZDYwBNLRWV8iXWhuyh7g0YLl2mekX3aL5pjMqHydrzh+jdjbw
OJhMUn2i3AtNqXoOFVyp0jKpXlrJUb63ihE9SF2X7iBct8cylZAMeQBHMIQtW0MCyypIJJkiVFUt
uKPZlskpJUjAnSqifN5/8bcYA0ctGyrcKhQKCGmu34gslVEBJl1cUl2LUenM7QGqcH+2oQ8AEXfK
cWzGvYDV268NQRslgszQ5LZv6+QoCnWnnfkMUz5hCE2bAYN6sUedvT1v8VSjdUBrEIzqhqcjlFnO
ZhHnFyNLSM9q9NNMJrpHTPpRIjRrp06+NxrkSNyq4OTAMNi8yJGSXzgq3jIEmfeYvWK0R7gx/ocK
GpjCaI7vf7e3m9n18YDrF9Rgm9nMmtl+uGzi/lsnY3GxW7LZXU3LySfHRaF6IbdqktwQuepLreX1
QyhSdE4serRsU5tCjamqlERRYGP7aI6iecrq9pyPgmyuMUWo4sZ5LT0TIIwn92LUDbB4qv9oYdva
h1EWbX4wlybEA7yZm2dyQxE3IcvjCMICfPyHLDEU2COqL4CxkHxzMcwjbdJlkYDLxEcRqdJnmVSn
2M0dYj/chYiJ15nKqPHtsW9/6BU9GDdVeuuzoXDk+qhzHGxmWnM+6Uut/DAWp/nRhbmDFZihVU8z
ZvrlgeJubvxajJl8yPPeiN1MEBI/6EwEWrJR/4m4LQXRwzirjVtMPLSn1dPyK2K9De4ydPaLKVkW
aR9qPXzudZ2jTtDQEe4a/mvS7UZA+cf7HuUMuavwypk37EnXy2+SYnXRe7O40FqMPUVbBp+Qt2Wn
+r2zyKkj8HXnCwFCaesh+lvtrcDVq3pIYZcImPtzFFuZV6h5HfSJUpL41iaXTk/2RLx3FvlKieSf
VYlC0XY9qOpMFPR1X17kCGcmZOPpwejkZWfZ3dkqKemxvyM4B0/+LRAM3cvJYfyWlxk3pyMmecmh
7HVM6fv4P+wnq0h7Ff9gnYLI5vqBJMlMsAxqykuchMsp6+uHXO3Hi04/6VShgNr5aPfenwE1Aes7
mkLwuq6Hi0unkGJJKy/EiPfHhmC8o44r9M4EXCfYZhsBS/j/Udap89vUoJVCNEQx8VBodA7kzEuP
/Qgtrx0s5QTE0R4wk46PySJF/+HLgTKDemHzw61wc+S3SQkPyLGYH233qZ3T/uB0UYxgcYh2zrg7
WzO3e/TkXHDBtLei64z4jzmGXHWZit7xSMzJEe/LiTfFaggzx9jTid2bk7+Pt7l5NThn1G3PeJVm
Jp/HhPgLOyPinuDG7uH9Y+DeJOFCYsoAQRym23ou0mIZBmwmLpqUkpOEDbZnSom9c/W5NwoDQD1e
rWSRSm4myTCkJoQpcclzM4QKRqB905Xhn08IZgGPwReiXbYlOIAL/R97Z7IcN5Kl61cpqz3UmIdr
XWXWAGJgMEiRIiWK2sAoiol5cMzA098PTGWXIhjFaN3VXbRZbcqUkgcAH47/5x+iWBRKsc/p2rqZ
Jg3b3K4/iUDKfr++WrRxsLYVqEY0cA6fJ4js1jYaudj3ZvZDSSx1y11pcC0tNc4s4hNT72Ckoz0j
UoAb285mewqz8jrsG4mgJaukca7FmzDt7DMZfScuyuxxMpdU2EzA2sfdRjwBy3rqpGKfdLG9ZtpN
ey7LtVdY2BdR/XZrckuMm9KSSy83rG9Vks7P78/JE8/8Ks2HDAPrEYOyw7dLy4Uoytqs9qqd9Rss
8p21NczaekzyelMJTFLfH+/EFga2i1/ScoYyRY+2MMA3J3FEJPaLtYI3lqPyUerkwM2pX+A3pIqn
5rGxz2w8x98f+QR8CLsPVSO9e1oN6vGjlqWwQrtvxV7PtOhjgAPy5TiVmJzbueql9OvXKmkmrmmA
KKZVb3zPtXDeJxXE5NQS+YVupfGZze4tzqbbDt6+ywVnQVPVw7eflSDH9WQW7DbjDfEGl2YtP6VV
eZkoyS4pEa+F03SXy/aX99/FiT2CXgJzDzRoEQgdrSm7kaYxCZpyD6qZP4ipi29w+C7OrKfXnufh
eUW9BD2QKoYG2dvz3pyHLGKf2IuSTNdVr3WUgjbYnqsWM03+Cn39uFLqacy9RCpFDLgYd5k7qMzH
qpK/J4qwvkcaXR8XykekX3WGkw1uq6Nk8uyWrqA/hlx9PZzepNYfMkON/QaFDwCHpK1qKFOPyP9S
j2jxJFtjSAYuHIW1Ke+CSEufAzQq16maQibp2zx0oQilmjsH2HqRa6vlD2ZuRrdO3/Vf8JQSz4Fc
pzrBC5K4nGclv7K6UdwSoWqtCZvorgZgoF2KcHxgFivGUwoxi0yeLphrt27gkadK3vwhGyOcnAmE
9dkRZH24QjOHzOO2XyIAKpJZ8eSh4T49sDC+wfTJTVe2p/DF6kc840uL/A0/ZDKWIBD4xcLGuu6d
sCBNXkjyfdfKEVbGuvSJt6HHntYk8R+OqKLeN4NE/ZqpxDITUdOZzyoZLY/U/vkL9Cnz8XfnGB8f
Uije7gvD/biNFGVz3ZKcV+4jcgFXbR+0K3zTlTOr+u3xfTjK0QqS4naAGZOV+ylDfmB1Zutxm0jX
JLeUZ7aut4uGobBvXDi26Lmco0UjxhGvQwQ8+yoIJdQamuZV2NaeeaATHFfsBLknLuRJFPLHTvCd
3kWxGeUCn6DsEaaluNLzGbPTTNh3QUumrmT0ySYctX4717XiG3JiEgFVlBvyCeuNFgnzQq3M2c97
JznT/3+7X0ELpXzhmATroIQ53K9GGmaBUbOgg1QoUMxGiPDjUKJXkOrugkyMZNfIWvWQD0ZBSknX
nOmAvj09GB9QCL4r7RZ28cPxGzuL+xZ0Za9Hrf2jyJTvJsm213NtqDiWKkjnZByvDNp4Z77Kq7/L
8VYGPLHYd1N/s6cdjmw5UapJbS32/SCMms0hN2bMzzHBgBSCGcNoV9G0JhKl/mpC+M18uROFuSFJ
LtxFtRXmbtEDEbrE8Mhg0WgL8FKUynsjsOMHsiaNr0aH3NxVzZG9h7j29sIuROKgmTPn0R/nOnrM
0HfDdxZUItj7d6rm08LtN2bWRiAGwXqU8+KhS+zxqg2XFGryC/T9jIuM7Js6OUcuaVaGvY5mdHjk
tFR6upuVuniUq7recmqmXNnjWKgePWbzE1SodPAMba4ujZYESle3Y0PftKFJ6mfJAdX5Q1ER3xJW
ijW5RherpV8HZoPkm4h2DH8M+g0kt4dDsRo7WvI+nL/xD7XSxo8A2ZXu9vXC4+qs1DxXZph8jqPP
9arBXiJTuUQfxzmki+20Y8xMlDiuVqpwpFXqoFWBiDb4Fo92Zm94e2lfJO4LOQB4ZyEbHU6PMooa
s610sQdyHy+zpi+3daP1tJUXc2tLTTZdXDv++zvsifoRryCD/tgi0YKPs7yFX+6DVqhGtp6PYr+U
bJ/MlFZDMXX9rW1yGADdVNtRIViSMKIB87NK7QFrjelMFXtiW+S5uRQCCi8agKM9IRZ2a1ZYNiBk
nBtPYX16VhSco22fflYLgQasI3hkx6CzA/CIa4As9iPN1k+G3tvU5UN/wdV+8NmYUySV4XxljOO4
SovU3uhT9+n9933irFnQH4sy+RU6PNp9tGFOlTjmJxjZqLq9nHUsQ/uHng/nGBAnuP1gQMvERRwP
8Hrc6i4cMQYlUT/7KapKsmchSH1swW1kl/5GPXtND91zlVaxnPoBALo3J7LYxEHW/5DUDDXAmE/R
GbLZyceHXsD5xw8i9fhwtoH5JomsSmI/y0OwmkPjgVCl8FpxZuNMWXzy8ek8W3xpKmOaRYdDOQjk
obJW9b6H+BtvqpzEF9R5enqNA1tDmKqiDW7WxA2BYVUHAbiJktvKhHOwsvjx9kqi6D5HRnudYseb
CkttWWmIekGXDn9VqswmWjeLX6X2xbfFvaBepZYRflVrJbuys1y+SYw+LV0tlmHHJGz4rhSWSupW
khjFCp//7spAFbnp526Ajy8V37JuyhB3ETwABzNAp9ICRP8/bE644lKEyUQdkMR9+LtrVSmjvsnq
Pf42+jruTNuXSqXATbhS1lETEg42x/XF+4vlRPtmsZcAyURORxfHOJoubVxWZemM9T7os+GKxB79
sdES8bDIJrxaBLQmTWfamGJxSWh7PquMxxezecQm2CzJ+TKT6sKyxeTnQHcETqrSHoMc7cz+dUKJ
xgUFeSHUqsUf4phXUS/8gs4w6r0TR+muaozclQ0p3Pa51X4OsVjBnV2/ayoCKYImMd0pcrp1MWBx
9f4bO3Fm4fUEi2TZ5KAkHdWXJh5faFQbsRjeQ+LU4u9OVKTkcaUxYL15ppQ6NRrw0GKnhZUWhebh
pDCCcOCY54QsJU3cRqnoSJkgyRwQffA6fey27z/diWNiORkhHiyuocj+Dserklyb1IHNMx0E0h/S
zdyx6PXV+6OcKFBxauQghjxG9XwsEMuzWBngOHAOUybdNWS8rdASGtdxOo87FBloq+e893S5n/1K
Hs45mpyoTw+GP9ohZoheDoHGYt+WSkY7Jrol0O1uRvyE2OgKuu4fwjFuf/+RuWQvnQK8LbDuPnyx
XVzwQi1L7J0ctnoJfrrrVGHsg6jONnPQtm7DhXM7mnO/diJD+X0kEISd4wBSJHIIpMGH4ytaEBfk
BWNX45SVF1Qt7SyxtComdCTvP+qp18sJvHQK2X1BkA6HkuJJqoMxr/eKI83btsR2z7XlYdo7QRpf
5NVERGCitqtcDs5x3k4UeDR3EayCeALZHN/KrMCwgmSMmn0xWeG2SxtlHepDu+5UvdvrfSO25pCf
45yeHpRmL4g4RqTHRLshT0NHz4J6X9AHvajF3KOkC/SLTqpqPy6oP7LybJP5BCmXhjt77yJwQap6
rBggfDCBHFw2+1ptuAzYudZ+xDCtunCIbybNyyCTZ0zGLXaJxXaQh+8ZxKgNBIZ7w8wKP2kkfRf2
hbEbbDPda5Em+SAOyZ1tFNOZQuFESQJDbIm/XcwJqD4PJ0QSIt4E52r2fWE+ANKNPkWS7RECeY57
e2Jjwb0XlySk7zh5HJ/9QT9n9TAozZ7WqXJbR1XsxpocfiM7p9oVkZLcTFmf0SSNhl3YluHm/Zl/
YibQhYcDgoU1C+3YJk4XPTWXXrb7LoIbFAb9tO6rtHLlspKAi00MzVX8Nt4f9ARiCqoFpWGBJzEt
Pn5o1Rlytmher4mkjFBMJSPnoDZJPCO+iviwxGvqbPazNG53UCA4qNts8tUMVUmbd/hIYTn7Mzf9
P57H/xO+lDd/1lvNP/+T//9cVkREhlF79H//+bF6Ke7a+uWlvXqq/nP5q//9nx7+xX9exc912ZR/
tMf/1cFf4t//Ob7/1D4d/J9V0cbtdNu91NOnl6bL2tcB+KXLf/k//cO/vbz+K/dT9fKPvz/9yOPC
x/qmjp/bv//8o4sf//g7qA/ziqvNL19pGeXnf3L9lPO33aeifSn+zV97eWpa/h3Z/EB7FWkapTrg
/hJiPbz8+SfGBwUtDIbkNlXGq2QYoX0b/ePvkvGB7gqoFhdmmb7bq01RU3avf2Z9QGTC1MPPnlsu
IqK///UWDr7Xv77f34ouvynZ9xt+zvEuzg1iWUQwEEijWVLYDhetMc1QL+Q52cZGH8h+mBvmVZXm
2Nw5mRVcBYbe5l7azknrAtrql0ocmY9hM+OTNoQBkATOAfg5gu9qhcZMC+K5WqUKga7+YDZixhdB
L88cssfrj99M8cLHWVi+0JKWZ/rlpj3gOq60UZ5ujbDIyaSdkks4ERSu3M7WFT3TXYbpwpmC8M01
aLlryah7+B/VKV/ncFSZU12Xpz7ZBnJfujomStsuGwt4cLK2GvL2RY8a+XbMaAFjcq5gp4/r/6iE
isc1+OKXafbzM/762U58tYULbOpYsWNud+wtoNcmrgjDlG6zwBm8iEnFQg+VXaOh90ydKKFXFrTr
wprEmZGPK1XeAvOSSzc3f7oWx0ZmiTxi3K8zcmX3FcHGDU49GI6jCZjqjTzU6df3n/TttybbwFr2
etYQ6+To4iKVWAmMU59vY7wcLnKjQ+6AN+inCUDuS2y2sp+MqX5mgr19vQvn4zUHFcYfrmmHn7rq
5Lq3kqLYGlJjEpCrRxiNR1m5RamUXBjjNNwUCt2p1DHP7fKvp+Sv91qTFW3yqMsCX2SkR2OTmG02
SWRWW7u00889njiS3xpgOr7CrOY6K0mdtmrHZG7cPAhvYye8EpZQf8yT1t8bCN2djZyKr4DnEbLp
lHxRN+lQBLq2LWGxQMZvfdUV+fhHYlT293ZMwcOcJGqEW7ajWrjAFtrjaJpXIijLW5xkbOFiaSKv
6Y9Ym4EAvNgOMzeoVQLEMmOuLqJMAf+WMNR3vIFMjT+w1TD8OH3VikyOfDPVEjniIYnGiA3jVumg
1WJljNGQ1RKBmtJ480TgSJuE5PkZ9faQFKsoK4Lax/V9+gxxagcBMyyonosk3pDW1US+AQ+r9Fpz
IZHSUKl8M4mLTcWC2eQRIbUuadnaVT6bXehNplJVdF/acROHau+Qgdg4X+2+nr4LqxAXkZ01jhfT
0lHd1ErSYZ3GevGo5ljmdxamVde4LKSJFxjT8C2Vm+kTx0dlrKNWL2MvaApBE1zN0l0WI7d24c9l
mGo2t4pkewq3/dRztLy+spC5o0ErZRKGRYMThk+0Fz4rQyMZ3zB0tTYjJttihQshN1o5ktVHYcXh
sz7narGtVS0KLzBqMO5zpOuBC7wR2W6rxMWuSKVh9Ge6eoJ9kDKoT7DncOs5Mb1sdEj3juCbtV4Y
iMIvAsVY02Rd2mt5ohYr2s4T1q5RrmL610fYS6fDDA86mUjHnqbEHP1BDWrYH2piXiEJZhkmiCxa
d2bbvzfjKQ9cnSXzjTjWsiAkHbPmLahNafhmmyLOJ+2uTL2yVAuLHlyahj6ttbbG4wVmsm8ljl5u
ANpjzJwNfZcbvToSTD3l17CTYMlptSiqPy/dv1W8/NuS5KCMebfE+f+xeIERDJrAtvYff9UGb2qX
/3p+iQ4ql//+O38WLo79YbFIBO5kLzIJ7eZ+92fh4hhUIEvXDcImRNSlAvnbz8LF+ABNCONq6mLN
XP5B/tLPukX9wAYNzs8/xB8R1mX+Vt1yeA6hzVh8ZXFxXGqj17PocIs2kLsERucY6zxvWxunyhDn
CBX59N3slEbuR/Ps/CinGnHOWEnpFuVv/9ijcZtoWGvRBgoA3m4VtM/HwETJ5ItIzsmDbzMQuF/e
64nD+lWe8q8t/c/fyovEXxuzLvhRR1t6ZMkJQrNOX0v53H82DEx3k9GwfRK3lZeu76W7wqnzZ0cf
h49jkGFyn2YmdhFWYfh6njuPXdjLnmz26bis18xrx0C8wHSGnALnnuZe0BLhqjnjtZnK+UqNo9AH
45iu9FoA1dZpsxqHdvLkTER37z/cm+8AgwPIYSHagXm8CTwa1dBpxNjoa1WUz2QDyM8Ewg2PHFvK
qnOSsz47C6pw8C4Xxgg18aL5XNyhl3rhl9ovUKEWtOmos/Na6rUEA9W1Qcn8SBVz7A5ypF0nQW58
q+Bb+epQWXet0MY1wSHabUEcxZVVKMbWJCDnTM1w8ocBqtHL0sF3raMf1qgR30wf9DU+vs7aybrs
kx4258IqT46iQzvEcx8jtuN8KXIgO3saFF433M2H0syCFYkI5zrLhzd5JiwYBy6Z0KAwjUaustRH
v7zkksUE9Ulo63Jomt3Aced1coZKaGzPGbK+fSC6f8Ap+BTRZHlzlW+chKQQnArWQ5ull9wmzEvS
cuL792fp2wfiXaHdgGeE5SaAyuEDFQP5EH0t9evBStqVWcrWDi8u7JzR3zy+P9SbB8LxC0iMY4tU
Fyp07nu/vjsRhqmUGQ2e8IRzeXKJyEceq3MtzuMHYtezDAXuFv33RZCy/IpfvpCIEhQoaTGsLYC2
q7BPe6+b9eJLGNXVmYr/xFAQCIGlbZskFPgGh0MlyBzSpG6HdRPkqjsSISPoe3XyV4AZBI/vv71X
2vav65sHs5cISx4LYRzdpsPRcmD+KJLbca07max4RPxUdw3V3KJkNYJLtR8w/aE3kGyUFuAN7yx9
/tI0VnnflVp000AN4K23QfRClLJzm+RRoF6SVDsgi8EHjGtuN5WrbsioupDCj7iQ4ini2c08yG4c
yN3oJoj9HvRZihuXbFSs7yIp1QgkyOQ/lm5k7UtGZn3SBgWZU2Nz23KtNrU6d7CN8FZOevVFN4Zq
XmlWVt2WOaRSv7RGVXVnMyhGr6Wie5TI3tnJhd0WHo67873e4s3t1UbWfqP+GlJvUvSxdQNc0fD8
Iaftto/VsfYErpRQ0OXGJJDGcLoNPi7zra3GyjMkhASFlNXrk9/ro/6JFZe+FGEB7zrt5VpsJ7hV
X1S5r/cmTIPW1Saj1ty4Ua0HSxtJZHj/W76dOOATeG4veWELxnC0i3QdPliLRGYRw2muGDXN1wXU
yjHJzkmtl/V7OGsYCkNpYtBeYZOjOTpJeBqFqk7VLhTpsm95PUEv5nVR1NKNXNnlpQQ36tNvPx9V
EDskgnW6eccWuxpJ6YRfYxJjppK8isMOuR7Ja8rW6jBlOrMwTrxMthUDFircPfoKRztYEzZFBBY6
EkU1QtUMhvEC+EhzNSgm/m8/F1I3GVwdBQIb89F3Q02umCG193qSnGiTVHn6aA5jvh2y5pxWe/mn
jr4bDS8G4QQAzTru9slB2Gt9NY5r8JrBd6bM2VWDNW/jIlf3pSyND05nd6WrTol0Zls7MWWgRwCi
LaS4pV493GiSvsosOy/GdZ0n9O21MqkySFStcpNxKX1qm6j9EoVhfI4M8/ZDsiaW04gH5w0f93+F
7dRq2fXyumgrlURU87aeI83P0yJfvf8dl0l/+HI1fNZorRsU2zayi8MnNO04Ts3AmddqZ/xoWiMg
oWhKf4sQbi1KQGAZlQeCh7ZEAR8OQrVrtjixyesyriJX1Ga7dbqowxi1s36zwjoeSjkcqgSKCblo
yuuqV+B92lG1IXnOPDMvTn0fjh04NHymtzAf1eeirrfn9TzlwtWMtttkUVW5QWSWZ97diQ+kcyla
1JuLP8SxmK+pUB4oIpbXNOw1xDfcTWAt/V4o9OsXQiSFGQiFAjXDcTHn4HQkN2ycsGKThZZqDhoW
epUcf68VNIvaxEn32zvIqysRqWK4KjPqUQ3ECWPKuUCeazfq5xBaKPbz0TfVas7xGk58LO6ADokV
yxx/hdB/LYOMfGpwlsP2xyzi6R6dcLfrsUzZTFZ0LheXLu7b9YQ0gN6uzWyHd3i0ngJTlaypklQO
sLYKLvqJaPpVn0vO/VypLeqfKusCP0o7NV1pgsJsNda1flmqiiD9c0yVdmVFWnZXWGnbuDTMsVpn
UhieTchQ7GY2KnDXzPF1WkWKSedWKIGa+VqQjfHG0adg9MIumBQa5o7xLHSh3w3EtUrcs7IEcjra
6O+j0eS130+pXOyrDv6gV5O38WjkbQCMP2ZO76Mqt4gTIdYh9eJOLDhZVetcgNO4bt20apzMVdSh
/1orcmte9ZRdqp8OilVvAmBT4TkDoPOqaVSxnqXKqDwy1cJnDQ+oaiv3cCw96irHn6QwqvyMWyMa
Ni2Lrgswy9lF+s2PjyLjyhay5sJtKp+zKYGvWVqiepgKR+49acBfBGOWUNa90YlGyWsaLf6W5K1w
1gG0X8UjGtBEz6imEry+Lrg3jAy8i2gXq1ri07oN+dfO6BGIE32HmVnEK1T2abCVScLdJbFlYB9B
vt3wNTG75kujtyPOhXKmG7ik193iEBD1Q75SOrWxNo48pNUa9nebfNRVISH4Ve10/Dzl4HJAwwKx
Zs2lNbpNodLjoM5ZPl6oeUocGmL5rr0xxBThniH6KIV8CkfJV8M6fmiwCCCKIQiDYk2AmYav+AT6
uQkj2F1kfkWmeW1Pcjx6fV6r1VOYz51YCdzeX4ZQ09IfrRSUGcpce4g3BdAqnqLNhUGyhJtA1rFX
mtGImwKKy+ehiePHpAdoaDh6PqdK1D3L3FPhs9SjfBXrg/xUZ4MaIvEOhs8oX+NLp7KTO/hEMyk0
KWEZO03OiWtBVsiHCQhIjN1ZstLEx3ozkFcwUJUrctKK2bXnQTKwAHVCaVXImDO5/NLwmzwFFUGC
SphlbtWGaes6aOY+dnMNmX6OreHBrIeFUhfG4zrLx37wgODTbmuHeveYSElwD0MoHnd2hVl56k6N
1WjbPFSqYccbjlVgWBwTdA+B+FBcijopOF8pqC7sqY2tm7lK4yGiW1xZzlNVLEhwSNfUfhhLOxw9
hzqEVzFI5P91AelubmmKIvHCOJGsFeKRxlhhpjF03tQM+n0dVCOi+9qS9EtHLwauepJR72KMLmVP
QqIbP0ywkqXbTqlq2C4ikEtXDHozrGgR4c1vDhFOAVnTSN9LBzvPOztES/x9FJ3Z+uVUFM6VnChZ
tGtTYa2pSQi5hIEUfUvUvMOAzMlNeO9Gbj45ZjTUj22u1ee89I4aX68HCDc/jJlYqkAux0Warg0o
nWZ1WgNwmyspzrLHzk6mfdUM6o2ldc71xDvSVyBZ47oMsGKnHaitYhPwt9TIlNr+dl2Dxm1RPi50
WxzwDusAetkSHAdjXncSC1zU4rEdynPq/mNci2LjYJDl7P7lgp3YsopKZqZ4UriOuQ4ZVUCEo0d2
5HyPr1Fx5sg84jP++ZYtdAzgE7LGeXZU4BdNNYvaUuc1Fhs1mhx6n41bGvFIR8bokZ43Wjk1bkef
7zMe9BArpgxqkUsXwrS8WI8q0kQskd0FCpGl6bIbu7WeSi8YcyqXs+Bu4QlhC0zC9Lp6fP0k/wul
07/nyH81xP/3ULr7lMVHUPrPv/OTA6AYH7BreE1bxUnpldT4kwOg6B9gstCLgwlL0uMCsv/FAbA/
ILLkbvRq94B2ZwFe/uIA2B8WQx9+G346y7+Mh8FfQP/Nn1eAP1kap0kAh1UUaX9c0eFScefDLBqg
Rz2c66NUcArrPQdW1lZUNGO7SkSqriRlns+s3Tf8TmT0RC/hmEFbhybCsWxfJGFY4iqsXXDAtwD2
XL0oKkZfAr264nYfXWjNqG9Cu9PpIvX1Va+LboPHT7p+fxd5lfP963rEUwNzcjUi8pBbrgyP7PCp
gXJrUUa6dpG2YQ622Y8IH8y6kfAGSh186RU1fxyGPhOeLY8dtoJDUW5F1yAfsYoBQCwymrpfKfGs
GmsUQeYXdB3YbCu5NN1MhLw+c2QT3aAFiSABwjK63pvzcWQ3cVDMOWPKYy/CdE+b68FwbVFM2EOD
ZRluJ9TuPp17w9kVkzFNvjnh87Y2smo2LoXUR3dmbSt3DeSRCxSJ7exlWEa0K0nQoVxPyWCEK72V
7cjtMKWEFaHa43UZRjSAGwUSg+sUMTG1MTExxUuEnOKb0NIe/R6VgJqG0k4rGqJGaVLLAyhU06O+
7ZWR01JU8l2jJgXp7mIo7okZcr5MQqstr8jsUVuZ2ShaP+86AodEFFduZLZWuzKcMPmsjU5+W3WA
WOu51MN42wVx/zKARaE4NBtt3Vl6Zq+MaC6Te0mKBsmHsyS6daeNBZG5ZkzjuZNq9SZ1UtXwkOBj
Yd3Rk77UjUIbzlygD9EJZgj9dxoNoJ+sTnhty7r55QwYqP9gB5f6hYk01lcpsr5aIgk8qVCxRkmk
Br5F4lwwVeOL9yfn4enz18jWEllADDmn7+HI5PqknG2NftEAXd8EqTWvywllV6Dl3VOdTmfbKsvd
+WAx8Kig7KwDAweWNy2qVCsdKZAG44IpN9sglXS4RVdmziX9V+kL6RWl5nW9bVTrDJLYJ7XMnXwr
jZm260nnaf88Df/3PFnOE7qiy7b478+TFcyxv13j1/K3e/DZ8Kl+Ojpdfv4LP08XFR4ZzBhuMguW
AGP9r0YtxdoHODo4r1lEqR4yzCxYaaBfcFyAZiHvLgKSv04XRaFX+yr3ANXE8Q+M6jdOl+NVBPKA
SGWBEmkML9rTw7k8TtLE+yjqnV4kL0k9VZ+UHKExrGCoVLOVbPC8HzwgW/vul5f285j7lSR1vIiW
AXFOVVWkD9B4jo8aaFlhhhiWelxzpgsweYzMy7JZky6urvKO0L/3xzvxoJzkLFeI9ehkjuvSivhv
q9ArGmbszW4b1cUaC3weMqBB3bXKsE7UbPAmXTtnsLccVb+uXpqhr+PymNSFgLeHr9ggi0pr4nHY
TXJvUBEGhhda+AbAQiE5CD+ZTWI58FNzO9t3aXI2ZeS4gGD8JdoZyFiXFzPMo4o8SLEoAhuYd+Ws
SmuuIP1lVrXlJdd6x5Wz1vQ1WWhb06rNj1EaZZwGprMxJusR1rjY6HUdbqGGiKsptNUzipK3XwXN
Id4byw5Oe/+YLCjZ0JJtu5d3ElYHa4Sh6QrWXrbRtXlh5HO8lZgR+HVNwNTvzgeSf3gdyIfpp8KY
O/wqaqO2+oTH+67IK8LAFLJ9RdPY28Vkd023s98Bs0wYwzrnbkhvZz4dXPponP7UWLA0DkeOBNaF
4LXabtYGMg+m5LlUgmgb9aa+Gqx62PzugzLjWUmL2S3ktWNgTBcTmwm80J0m4Tirk2FArq+lrWfk
YCuzs43trKKNz6F/nRn57YNifQx6itgBEB8u6OGDltz42SslczeEduJK3IHcPFWpdtRPTjA2Zxb4
q6L5cJ3BOSD1aGE6MKdei9tfCoLOID1BUmNzR1bkYLplAYohKWOfeVMwS92qanAK8yxAFeHidKt8
I+LUvknjoMFcJkrJVkCboCVeicH/LRAI7HHsOUVO9uLsXFhRr9gevlrGRV4bDlLRvA61NaQsdRth
CUlPVOus7+9/u1e3s6NnWjq7XCPAiGWK4sNXGCojAOVsi10SZPYmREVWYeMVl09arMwBZLhZvmgy
nA9RS9flj15L09QXfWJtwkDtn1WzTS40u6MThez0u9FOBAfDSq0u0WNHfwSwFR+cYQg+w1vUri0l
s10pNuaPDvrU0e072fmkp1qYUH/n85Udm9mTnunKF6ujV+Emvdw84KFYyKtpSPLKrXihsysQEkNA
q7p5p1Yzpg10yJUvyM2Tc2kJ3LGOdlakaOh6ObYWZYNzdDUSSb1sKo7Y1eB0V/QMlHUzlNb2/Y/w
dhrD9F5O70UIiZ/g0TSWkqGnBs7Ergmjr3YslZvSin4sxoXrmADFM/vS8kUPv/gyGqp9bj9oSo7D
EXJJN7AQTMSu0zArSNSETLmwltzFOpOQbmCpKdXPNRXfvki6kdSXIDY0/JDsHk6zPGwlQ42ield1
Sr6yc7Ph3ofy/f0XeXKUpdrhPr2wPZY//2WBOlI8h6kyit08lpY7KrHq94F+blK8PVJ4luX6uGit
UAUfbexSMJh63cQUFjomQS0B05uMiDM/apBba4OlgOEQLRs54Tl68KnnQzdqcO/Hf4m1ePh8gaGN
GISk9S4xC83NyhBLcbotZ/a5U9NRp2LEXsPk+Dj21mgnNCNT3y7fCus5iZ0DEDYa1nKuftVa7Mbe
/2gnh1teI3MSKOON+NFurNnMk5rqoTP9ckQZz4KP1oVDqkM3l+e8TE99PtCUxQplIc8fwx1auxAe
44HPBw/Xy/vowcbDYx4UzZVneXRludC8pFQ+vf+Yb4skUBYkeTaLTwfZWV7DL3OTsIK0oIdUY4+a
JOQzociRMwlnhtA+N0FPDbWMtTRkObGOnTmkbu6bvlbFzlgY41lyIVLd8S2Aa//9Zzr16fBz4NTn
jqyyrRw+E9FdRGkPeb0jdOnKEv3gjngGuTkVvjuLID2zvN/mtC5MAbQAqBA4fuGmHo6XtwmsHJnx
ICjgyiyPxlaJ2+xjaFvdVnJkaa3TQPIz2hH3MzvbRx2iuDtXgPSVMk3rIeJ8NuapvI2cDHpP2Obr
DgNxL9QKiOiYeSBnD6Uz2/vbKBN+Nqw6WrzAdaQZHb0msFg1kxKodDWmSE9lmkjXVuPIj46RihH+
u0xgFzVkQWPCTMvCtQgj111DjHbm4kpNVCKCsPChpir4HDXD9GTPqTm4oDm14SpNB9Qbx32FT7RS
mKSYhQ7ba6wadUg8sNZ/srI5u20UEgrRcdtW65qjMd+KHNKFJyWET7d1Pa0DKGXwr6Vc43Oq7U1X
qs6ZN3Fq/6J5CtkP3TEs4KPvVwUYD8lG2uwEALhnR0O3anMpPTMr34CM3ESQIKK34p0v6M1RTRPj
AA6IVja7KVBb36kxYjY5TV2lylvX0MSqriUHc2kUq1oSlduwlIm0qtrmzM729l623K+hPBOUCVMP
yvPBkh/ahkzx0W7wQbZzfzaq8LopenMn0naHBe1VWmTm9aROqa8kQXCGXfBm8AULQNeB5Q3vAj3m
4eAgezXW5VO/o+nY4ILc9p/avIq2usiWdrRkbs1Gl/YVJfRns7e0u/e3BrYZBjioMxiXawGgLRAC
/KyjH8BVOzAF3Jbdcn29D4WJy0BnZZwmfc4lwVUiUrSLOB2vZxqcvZc2Y30705x2VkPa95eyWlSx
r3QZWXq29H+ZO7PlyJEr2/5K/wBkmIdXADEwOCbJTCb5AmNOGN3hmIevvwvZ0m0xWEpa9VObzFSl
UrLAQADux8/Ze23pDmEGgNaP8myxvF0WeIV/Ua4Kp1daYdIPg9ka/B1ssfFX76wTtj+8KHhXfNM6
cDoZq53XJuvnpfdRfnd20L/YdbYax8SVgxGONcOXEASdYF0eza5nllfNJ72fJEpB3+kQd1WzMzKV
95I1XqFtQx4qGydA1ZY6M3klrTKvU68ly3PU3QX/QyOwZ2iJWSbwz1EOhEPdBmsM/mFOdsk45hQJ
xAaaJCg4U2y0iBmjpSDlmP221STbER68KCB/8FVqjYONpXMWEWlNHpRQf5wlrpXlfe37tS/2LtS0
NnQm3xd7AzrRTOxHSfZ0kZREES9k8KljEwRTcOhWQ2mhXbpj++ly6ucluFh7msy0hjvylaxaMHWf
tP4zcRLt1xTxLkY238m0nZHmKfJLVajLqe29H6xK8sVJl5ohfOMuxCh6nntlDuNGhvGq75lWLeuu
zBoMVAVFTRfTLSw5IDjVkuwKt/Ju+i2SYF/AWzRiK7eLb37r+48ONhh/l89rskRtl7ysQY6vbkyr
pQ4dD7NjSJJK9cnPwJ3P/iayXVXdsJplpe1Gjil55P/8PL/bU5kDoXSnFcxLxRp21uPAGeRJYiWN
U+NY7i4I+jGsgEhvstuPUELvCvTtUohn8JgDEoCO+PbN3Sjsbor090RXNo3o5RsXjdS6WM5S+8Hy
n+6o3KsPEBTvF026dJQMbE+odjjwnC1W6byoViLbPwVaYB7zTIgLSgg7EkOr7SdCay9WEgr2paep
A/GR2UGNpR/5vvxIFvV+l2d72OYyOO+os6Gbvf38zES0KvNX65QkvlGHmqhdArrg+ghQ2wdOedZe
wCXvujTyVObtcz3Jb3jZyHkiHenBMZfLtffEbqmXaF274m7QVXoYHGe6E93Q7dey/ciR/v7pIDOL
Qyb6aJ+8pPMTHMqLwYXYAXAwT/UYsY6PHmQELq5/lNVt/tbNvl1XuRaKDSpJnkg6b29vj5/NQdCS
H3jiCKJlr5aVebe5KIZqV/EsfSIHYPhWT9n4tLglyNBNCUEqKHwbLcx+mPprByKte2gb5T3N3tg+
tor3cIdZ/lLIFJm0O0o/lKtNlH1dfk9ra/1SiVL7aomUjDPYgRkkHRgPYMzTjnpZEA/ZHklez0SI
nGjWdnaDXigsmiGBOEZu1E4FQbeGrlVvOW250Xx20DEx0k5GrGF+EWg0JxM9ebT0st0okq5yQulb
vbuR/cQaCp91Oa5Rctwu1qphY9NmcUpm0/4h58a9IuIkL0MjRSYWr8YEF0bUOUEQjhrmNubJHucQ
Vtq4L5AzNszYnP66d6upDaU9rrdG50y3ZFmqOfTnKi32kMzYlDu+Qbk30Di9GDXBidSVs/XMup3A
dHPcL9Mo0WiPnp4VJzIsOlA1orY+DYDnL80u8UFflE4eaTgSqjAYJR3n1OejRIo5oYcteMLDV26T
p5j/Lau93RrqdU5GRztRvSRrVPCXFASyrw1Ra2bzS9nTgMLJiRyFsRyZMWFRVOWXzPLRhATJdCiw
9h1AT3bslpVHxCLz2PyxX2SdxiuatKskGCf9sOYVByy0tfqBuEfzVoLvesjsKv+Z+UXphE7mZyIm
fGRe92r2Mqhec728plPn34nWJlJPt6R67O0ZAijyJe1ZZMH8oPCYIpUMsvFQrEEZIJyZV+Qzyizz
mGjcWtuZaFLBQvZ5dpNmcrpLoN9nSrvLe1seDS+/soBMfRHjIGBuTjMbHdx9rwgdU7W/9B4DF3uI
5Mno4eNummEMD6nbTcHesNJxS2Hy0kvlVRLdhFXmB/p1sDnXTAuu+2ltb3rBWHRvjGnNflKsJRkw
a62HhSewGSqd94hSAAXPbnRR7UdtTZ4UfL56+pnQ5kK15OX93YzrsYyxBQ/eTsoGOWo5yYsgrcS1
wYNMjEzLsY5/OEOBE1aR5yFH6uwxBx30dd3kK5HXjsFr5ukakQf12P/oy/K1Rlbw0kyrtl5Xtapu
lG1n9xx3GAgTLDh8Upb9fZlmBNFFHozgyHI/Gimzm9BL0nIJJ2ek2aFPunvv2rP5KecPfPeL9Dbg
ueFYMRSbYGvRlbnP3bV8ZnL3nCAvvFXYxiKMTeUhIVzitkEPIEOrGTVKGZONdr+0yMLDVJvGeme7
CJPCYSo79mIiZF8MFPbPvd6PXwwfw2wo9aENa7/CAtuj9+KLmF39ySVXiZiZIG3u81J47q5d0avE
+BqCJWybeSEGtdxNC9GNe6cMhqslqNxs7/eWW+3XMSfoLguUGkMAUA53WFpBHXodG2hkUGPdUxra
NPNTW/sWSISOdCU9n/RmpKDPtiaDiiBCud4hKdTJtCAahGVJ+OJFjWP2mTlN+ZH+evNBnhXAlALw
toAf4U7Ar/92oaaTbAJW1t0TFSewlsTpjfRgqtSod3Wm7G/uQBL52DT2SXMzeLtrUWHNrerv9dyO
P0iwhlc7+20Q9np6kQgihbf01u8V0bzHxev2feqNAt1orn6KZLZaaJTZ8m22qkqPJIc/mJxq/OBU
8bvOOdt94HPBTcfkiWLk/EzTcKSYs9T1T2O+NLEO7+1RcaZcIvJ3zCTUg8WxWQGKHL3pyqkoKrVl
vXclmtm4zmdbj0bgm2ZEsdue8BZK9vahDYowMY3kWzUvNtK7xS5whzdlc3SMqu+izpt0NBC6wisM
arMSYVkhaKeOlGTUL2VvXgjP1n9RV6VpmORO8QStiyCL0VRot7tAskAlarFCVwucLlzGkXOymsp8
jCq/F0854rWn3m2AXTSLdB/JuukaAkKDkmxtyMh5tC4VClGHBZEV3SyyF69sNY/qLMDULlXXvfSi
tF7trvXgXyj7K2H2HKfRMECTM1FY3uQMZB+qklyc2JOZvSIMmVlz3HpadulgJnvJ65NGGR1thIQE
913D7FzW0whW6Ngu5DOxCKbDV6mvIJpJscVBT/Yoq7JQ9UvZ4jn4qN+yNZ7fftnInZnfIjGCgoDL
5e0T7AvCJ0diUdmOSg/dyhiUw02mmcutLZw7hS3rYATs783oGq+oZubvpj9Od85EI37KUsloAEpj
EufQvhBrDtLITr6fJD/RtyzboLKs4i1yPNljLncMth1Tbz7oZm6/49lnQAqMhIv334QXe1bXsmJw
arH74DQbmh31TLzDjISSD27Ve8IeDohN3LXNuhm9nYtFULZkbNZacEqTtLpph7E4IWRdbnx7lrzf
Q7fD/jXGU9LOO0fWztHvnPKqw92MvMj2b7pWdc8tXrDQSbME+Pu4AXSnjwIJ3ncF6D9uDjt0hgx9
zhPAURdXcytRCLbNSGJKmu97gzTfyiDi3ka3y6ou41rPD47qn/58gvp9bnn7TWzX3kSOyB0ZyJ4V
rui4/aGetfJSH5LRDjVzbL5rvl7eW0O97nVjvsOIrr20WWfescQwc1kPk+2nD6WT+m24rL11B3T0
J127+m7SRB72atBOQmbJQ5KLfoxQmGPj05PauVrswX5O8iLAYac1WRsHOmwoz9K+EncmAVaWbbqE
7jCPL5ARVBJyhoaP1Kea9lGE7/snEEUPHjGdVimz6HN+aAUZs0hkVl3WxGjsdPCTh1LTqg+aTeb7
l5V2F1QWrEWMq+CIvH1Z6Z7ba6o14lIvmm3/bRcU7r4RtsLcuVry0ysqguksNVw0yNwvaF3gjZ/0
6khqcfsZknkdlfWUxElK7M8yE3CstPozbYvqBiJ5fpUPS7Oj1aB98ItvX/vZYwEUgFzpTeqE2O9s
nOKqnggJU5aXTAg9mHmu+RWfsxaxFmiXpk1xtgx2RsQWFoMPDr1/cWmsicj/fwsS+evbW0Z5buXT
0pWXNuaNGNueebJA5GOa8KdrMqBTwiZpWrB7f+RYfF8boC4jC2czcW8as7PagC5uJhd/Ki+Vo88X
fG32Lilsj/pl7j9YAN9/SNT4FtMO9EDc4fM+XFAtfrpmmbhkQrscDZUut2PnqbuqNkciy2wtLiF5
f3Nw3X7+8xv/vpHB3UX7wJgF0759HvwIhttmX0vFpc/bdsipfJ6UbTQXDrlUF4GGpLoelfHBd/r+
baOfiCAFQdsGyjpPT+opJ7th5eN2ekFffGUQyIlZ/C9u6r9f5WxnLA2bpHfsH5cDcv49KcxZ5Fpz
uku1pQi9uqeS3foTkJk+ikr+vem+fV8Q68FcZq6jb+PHs4c2m4oel8lSXU6ia3+VnCussJ0SYgjI
1CU3mVTyMHfSCSUvkmM8DVXyxdDTEosKcJwvhiZ94vjc6QlQJZQV10eSGjXOgK5VQI6/LNsWXwZH
Z+ten+vhpYTzWEd5agg3LkEZA3D5kRCd3hOrTs81NHLbPnprZX0VFKSfHVeplz71x9dGy4P9mgxM
98fJo+hx75Q5BHfO2FPmrINxaxFs8jOVJacNDg3NEjKyK9SN5EygmO8HWslZ2dBatO7NkIYzkiFB
+FDhsugnKf/Kap39GNdGfytHCDPYDoP61ejLjR5Dwy7loCsJCuEwZfJLuKa09yk+liQkGmf4rFYi
7Q/VVNkvYALnK2btKOr//A68e9FZ+jdRtbMRMmxAjm+XmJLYRKdKquRkpi5ugmSpL8iAM3cyqLUP
LvXuddsu5bADuC6uXcwRby+lIbJbsckkJwBVVjwGU7nTXLuMVefW0aDBF25ny/u7LwIXJYyKNiVD
fUYdZwtZitFnmb08OTUVvANLueJbnWKlGbQi3w926sfGohnf3dFSxz/f2d8b2psXYbu0S3WKJIfS
65xMYJIJuswln3fMiBUD/WHtdBTde3cIhhgFenZZT4V3TRSk4phpk0lZD+raoHAO13IpP7gRf3X3
CZRiF2O1Zfh6Npv3VQKYoxuTE1uKjgXNy/YKQFXc+qph8EixUbju459vwV9c0+IWcA7bGBCudVbb
iiFxzHZy8R62c7DTeckPVeneN+7UnJDzdPvW+AjI9hfPM8RgZmoA6DYA0NnCxxOQeoJy/pRn2rwT
bm4eZ+iXe7uwn//84d5Lk/BlIVHh3LFJOtCWvX2eAz+XeqqV6aUzGFUS0+fwbgfyn64XSzHahPUR
nPw5M044722596s1GHYaT8C1jVgdPFarg/NCwGNMocgZgIUAOqW54wzmZHvQyiV9ICfHOTYpFFtr
gVcwHJTjXLVDXh04rdODQi4Pu0zx3uk7JolNSz/PzdLDOGfVV9OYTnrWeJSTBbZOZkN1+pM4CQYx
QGobUgMznj1FcTpwOB8aRpC1HVz8+T6979xv94nnbhuL8yCcM2KZD6c1eUjppZvn2lE0Tv/A+L+K
aVPDzRsG82LYeGlZvVTXjd7VWPSS7rsnrX7359/kt9Dz7I0kin5TONPBp9g9K+WCZJBQjWV2KROt
vcAp1h6WrkAR0NZecuOoWn4B3XZhD4O2S3J7xGGgp41/yIXkJem0jCOthXGMULY+UFHVyLoIlz4l
aNiYpmo9Ut52LPhrs3wtUPsRrDArV0EhC1rMtBLO/o6UdHUz8W34WzMCEVlt9XKNVsvRmigPtnwO
yfH/C349437wppLTbbKs6d5U2vRoDijPGDm1Ho5sb5FZBIl4epJZNmjHvsSbGfmjX7URZV3nh3mJ
LHYHFIuYIGowznd2geKABSL50XrtMgFssvrmEYm/QRe98R5Ky1mCKCj85eHPN//dWvB77dmsNQAq
scWdvS0UqiUzIz295MXENexzK/EMG3Eiivmi9BGCGHXvHf58UY63vIRvvnK0zuw6vKjbsPfdNMIY
6S2v6SwuF8PHl9A7eTdHUlsdL5xyoS4by5q/0SHTfMYTE242Ws+WeXQLayABY1pQI8zESClKi2J4
NHtnvEWhVuAgWUrs0HphLhEEB92Lem/V5HXFeqiFo9FIOxaa5X9PbSlxwFZdP+/YG0UZ2oHoH3tM
nPRH7JqwgnmqxlcPh8kLsCrf3utbZGqYWflqx/mUBs7RqTH2ReROF13c+8ma77wNQL/Hw2y48Ga4
XEQ3fMrjetK7G4W6+WSO3XOKNiOV/i/BvQkLgl6idU4p43MeNPQk7aeciBNhSzMizY6UrNy5a+ok
OZFEwqpFVYq6Yw3ndiIXZa2MB71zrp1+/VzO24hGGReu29o7F7SCkaS7LhP3a9s24dSnw3HK5vTE
UJKnemSsHiKoNJ4Qo9YR/fhva2+6QMCI96qZtvZhNugOWczkdkSdPY0h4i8ytLWnFbu5XXYP8KBp
Ky/lvTH59bOJobxuS9ffwmW+Tj18RBxGq45gokGQ6LQPWoKkRGajGQaVXZ9qORY3svfmY+BU9kXS
Q813CChC91rczXWAhGwptgbPck8Y6N0gZBn55fjJARixykvMVRdSui8FcVGh48+C+a6zV/6gOImu
qGKL8ZNbkCGe5BYPjLUAmN6auzZxvItybqj1dkyU+lD3k4shlVE9ab+ymTGc7Q6SCYVxvdr6xTK5
x9Sn170kuRbZjXWYMmuKJp2mXkDvT1v7XWlagjE+AcQLX3iIDfNWNnKnF97npRHpwW2h8sTODLIx
clTR/vQRV+8nOzNy1B2tf9fSdW2jFv6MiOe5co7NIPVrAVbCpRO+HS+tmakC6Sz1Rd7n1sFuxjtw
00+zUT7pdWGGjb+KMC9EcFBq+YbnAEvxQm8mU1VYdpi6/MLhOKWc62FYtF8Oc7CLXCv9l5Q16HUu
qyMd1l9u2ezHNHhahLVe2KpJ7peCSarZNTeal96YAE8og3t+vN2DZrmcDExcq0B43KKEBfjI6wMT
pW+J02ADfhghiY66e8Tc+5D44h7zPfOyBFELeWvFd8Zup2RKDvbkv2rl7O1Mw1Gh6SVfts5YyD7b
MKQfiGnRGqaDedeMUUvGAqFK4irI3AdwaeuFoP2U19qj4VSfUY/czFVzgVUscqYVrgA9stgn3mcm
Sz7tjuW83OBxc/FzOw2EDtBIrVXA4B5zC1hZLDu0hKwPj5WeGiiNvKshEPdyKV+lQyZSUI/XUDgP
pLqkYeUyejG0qLfGaxYurLY09ElVmotliPra3VvQaVgJEg4m3fzgcybiQivd3IiO9/RIiojxQpZ0
Tk6ypopPjlZD9sgNk+ukqrwz1DZ24BbK2mOq37WIbEOtMrurAtbnCzqkjdq7qCajxzLQoCI3yMUt
Ug00sPHKDSLEj1wj2qERHVZmT4y0O2BSjPidauY0Y89dtsrBfPLd3Hhl3aSRVdP4+YqlsPtUOBzv
a61wvlOw888Chk1ESyQPKX8j9triMTqqKz+9ly0zmb1pK+uawr6/TvK5vSYGlmcyI/RKsX7oWn+h
w2t48SblDISbyfZHP33sPX/XukDBZXIKRT/l0Dlzzw4XICkI+SAP9pKTn0MzHazkXSc6K5osKfal
7WmnhLE+EHZd/lM/9bc8aH8Ef75BhP5HkOj/QTwooyhOS9zL/2xBe6iBjf/XwyBe+7fus///s/80
n4E3R9wICJpDweYUozz4F94c4if/FAclODd6MZxN/mVtNv4BtIVG3+Y3QObCaeJ/zGc2ljUyFqA9
07Cn8Pf+jvfsXWmM951aiI4oPpHtGTo7IHVZ4va+XPsDGLT6dpGaeMjHcTLJKArEY6N57pEtxLuH
Mr3emPO47EovGw7uymTwg9P5X/0uVOjwE/jwcPzPJ2f90BZDR5YL0YBoyhjW1gk5Q15X2BERRoZ/
yDDH/aJ9MhHRqY9a3KjGvnfTbP2qOqP9yN1KesRZ6eagYOfm27+bnzDgz2wHCY8JV+vsQ0LzDumY
PrGAzlUyfG6FZd1KM/U+1St3EK7TSHe99QFa7kDezVd+mzv1QbN5DUPIyuVdySw93+E6m4sYmK+N
6tBoShBiK30nO6+KOpoq08ijbBZIyIY+kI8+bohXoyiQxHlM9x8UGfU/NAsoI1FeeXrHlmG7+zJb
myNzbX27Yw+raLI75A62gQk7aCkyFZtVqHVdMnF2Q7RkMV9KdnrLPkaT6+eYXQWqb1eyAp3qu1GW
isXXpCyLnBbQy8HQ5+6GsJ/gxSgg2KMJbvWAgyIm5TBwW6FCUj/yFXiOod8GU66w8ijPYcrdwb0O
DXuaT+44O0FkqN67aWrXlrsE+zynTWb2XmhxREZW62rmD3JIKS/dtLwTtbE8Cn9IqLnaon5NZJ5+
crwFwiuSCeNxdZXfUHFV1svkF2h02pbyBI9+1RHDveDG8XDuPBW2rRXbzGIYwtJpuu++WXAo6rKh
/oqpx7yf103So0GEbsOkTPyrMTDyCU9gXVQ37KnZ+kyzCP1wQcXD/kO/EcW/O8kiRi08UNxNg5Z/
YqJj6CcSLaf86CIE9K+rVV/ov/UWm6KQdXniHN4aV8GcEkDWKTREcWB0QRuxfeVf5smh4EZUXPzw
srbVIdvk+TdtAqoYw67V/dDvldHENFWpwKaZvIJQ+SiXmZN05a7UYRbFI8sLsmaj1sYdSY2LvS/Z
xYKQCtO2o1JJAg7LkaC2PXBsSURiy3Hykv1DpDcodC39ykFQSQxggLgnmlBsfEuyUkPrhP7C25ej
8s1wwmjlbLNs9XMmA9Y5eY21pjEgmVnuUSYOy24yUk2cNEUISAzh1pmplMWWIc438DmVK2oNDhz5
8zb1L4/uaFuKh4WIxtC34X1RHgiPWPo+XR+HoEMOu0U/XRfMb6zLluGUF5lDNtoxiq1eWxn0pqkR
lty2gyp62X+qyrWllPA7Smy7KLPvCDFcdTGldUMugZ4hpSUNxquOmbcydC/aBJP2qHoVwg1q1zDL
vOKmHIb+RxPUvhGXBoMBqAVCcXztS0RQ4PaUHlqm1ulxbfjNLz6x+pboRi0io9GcLhaw81AgFUty
6zk5Boaqn+wrAVVqjru6ab8QBTo/oJQbniQT+C2FaOG544DfKx5jB6VDK5y+JKDGwTvW2Z1JsWzl
5g2k0WAk9XcRznb0pm3rqtl6JbpYNwAd+wSyZSbyXCIXsqI++aRLfvVma8piucLCjPu+GW9T/CQu
Y67hpDJJLTUOpf3YSb/b9JoYFmjX6L27z5tEmWihbWOOSLmXqFFEkmSRbfqc7Q0t4+WCyDaQn4S5
9CaYVoUoVSvc12LKm2++oVl3Kw0MylwW911m1giykiWYxWGaiYeN9FnP7N9QCfI1seswFdfaqoz1
ETAEdNFNQWDORMyEqeHzWsybXGFX1Yn8nEnRdagtp+By1k1QOkVe+EbkygkZ2cBQ7pPfjMYn1wWA
jQrKDZ5ZudfvDPRmNL+Y55rYl2zZYeUN+XdV1cvtxhhcoyATg41QV/OcO3PAcBAaS2a+MtW2vNBc
DZmGo1jKO4UagaOR4mAXOcbAHDVA0YPiKul6ZMrrBHSiLR0EuDgrquY4OI3/iRJc/PBWkFkpvquT
BeaaDcLTCIhUzmRjdlhsRG8D02ESQ5pBXOW1i7Bh7UlXCnORTusePEX5hYSf/pfK6DTFWTKYP1rw
/z7nTs8o9wqNm7Zv+Jn71um6fDeseXYrjb4QnDc0+7lErsevmxC/xTvLf3ZyTJkuzH2HVKbNmmQ/
Am6yd97sj0m09v2CKNAIlvuBamFhEq4jEEgg/MtdkXdlHeHyTK4DAp6sqFdZd53gc+mjDvEr3AsY
UZxninFCYseX0oS6wbrqypQXn90uYLye9Bg6yGFd0hPawsqPzEQCz50U9Xjh6Eu58/Xxa8r7TVKs
V2C8/F29/a1i9j+WqG8K2T+WvP8Hi1kQOQ5F538uZZ9I2/mvSxA9grSe17dpPf/9s/+i9Nj/MDdW
AY5iGEy0s/6nlPX/ARKDTjtDakRPmyHun6UsNa63YVIpLqmBEZTR9f8XRsH6B0wdetA+5qhNrMto
5G9gFN722RBMgOfgX0O3baOH4iN72wyfCCQEEWanR/hj425dfOO+Ctrk8d9uzd1/9+3+nZnwtru/
XQXzOexvBD9bku25aUTXWVUtZ3QPXTq3RzECw28Hr9kJVfgfNIvfnu3+eSlCh9AyM8h09bPqkyQ1
b8qWwDl07P0HetWsVT5LzMXSdXQK8sHbb7+MgHZPC+rPH/P9zURr4Jl8UpY18vLOjgW2WaPad3P3
UC1G8oMNYI1Ss29+/O2roHPhS9vOriZ8pbdfGdh/b0zk4ByKKnPTMENO9RmRif33tAS/7yRRg5vF
bEsoR3/09jpVIIqMzpR1oCTVd7UG5LFdFhHnHAk++NLePh9ALegv4xKggOdJ2eT5by+FKt8sg8nw
Dr1fe0/+EKDtwgKzn+0m+aC1/FeX2sxbjH/QL3Bienspfew47VOgHNDSJt/MRCyQGbH0nkijIlP3
z1/V+4tBgeKjcbwN6DmdE0t9RRAlpJLgIPH1HEZX878LE/V01tfWRwfBtw/fdg+5FgcvDPdoQPBH
vf1grZvSic4BYODdUjQzUQc91E3wERTkry/DpIHT5saXPbuMAt2IL8oKDkJQ8AgMcGGXIkr/X9w4
5toscLCGETi9/TC5FtB9N5IAoVavUyfNwxIXYz/EquTQ+MG39BcfidWZYS/POf7d80ciKPpcR1fP
R8qoucBvD1FtgiP480d6uzD9/n42gioWebjQJCVu//+/GXUzJIuGjibxsNhtdUJyTEVcat34ivun
vJ6IvLgVubKRQBdy/IBW8v4TItdG1gFfYst8tNiD/v3aozd1UGw7Gr9dDzplRAyLXPijmf27LEEG
NTpwXlJUkB6x/J5dpvH8oSX3KDnIErRX7Hm9TlFp1AY5V0SIFns45v4QKdtK9TBJAGwhpBmViHst
L39oIsHojlq8Z5rjmRTJf/4C3r+MKGtASrPO8Aow3X97E5yFFFyjmMmxmjWcczkoODKmkQUXqt3/
+VLvksy3OwElhSzHLZeGZtTba0nypEBtecHBEJ2+Nf+JSeGMwrk9MWq5t3KCszh7d3cDGrKIU7N+
O1u1Jf/+RzZxXYHuwa/JqnC2ISWtk7aeXicHZxAdkmSbXDklrFi5y/zB4/0Xd5cVlQktYkzoUOd3
t2M5RRqpawc2QTIBGvOZiRZpM1PxkY/tnQB+M39u/Bs2JaAWIDvf3lzNpF+s1a12wLnGeSRrdGO5
8/Ua82ftrpy+pX0BlikbLzOvovcUyFWWh9W0EyZ8I1MN2hJrEGtkUTX8RKHfF23AOIcZSI8lgqSo
n7hJGHjVGaKjLfahV6/G2BVlXPVr15HAtTQdxwosBLGeKYrrPz8+7+4lTmP2CzA/DsxbUnDffkBj
SjWp0lQcLX96UtvwkETCZyncjwBt79aFwDB4ZQm8Z9RPS3P7Rf5tTUrqUWs5mssjhpgs9mCh74Le
qj94NN6vC9tlKIlYeNAJIqF7e5l2MVZ6Hqs8Wkx/5khM6/ANvXwbFciv4rEmRMKeU/XqpAhZW1IK
Lo0qdYF3iZaugTM3rysf46Osd+xtXPffh8yUvLCFkPkQr7MhAM4+floBAq6ZtR25vZU6LlpuBeik
5/SbsYrVuyKhfFKRS2KIt8srW3RhN6TLo2EOxc6ozLUMmTZZXUzDdwgbMQZpLJyaI/tSGbkTDV0l
ydYYCpGGclLzz5YAO7o49lBaEXBMR8dbZuQPDPoasa/sSsdIr6+7WcjumwbWaMKD4C8wI/Nm0A6+
Uxbwf0WHtcksbXZfq7fXOz2xKwp3Wx1tt8aSvEKsDk2BzQ0zC4nGV4aRMD0SiT39lFmxXmqF7pPp
JpJFxsD8iWIzti5Z6LqT/0kbHPal7je1El+qwPa/juNNPpgDEfeLoKsipT0c64q4+ZDcez2Lq7Ft
fP7bgfaS5Z71JNIqSULIiQxcvVa3sh34XqMnec2fL0bbG5+VV5aQBmy3McO+q7HcFFqrX0D8sgEu
0aH6XpUDJ/qqstcMFubmqePXzvd1nfTaraXzh9uK3BSOyf1wvYLY1sAPGI0TotIrOnoN6PHiqpva
16UvVv/Qbf3NsG4gLJNjMuTfhiLz1J5SUMH88THlbWNXk3b0uOIhlDl9x9BKB2PY2zSs6j3a+/TL
NBSMw5bMZW6q6JsuO8+dTCcW1uxN0azGHmd4BgQMiQFQXFpj8FZ3xSyczyLDFVaUvvFQjUV/pRsl
q8dUoqHdz67N9HXkJ5ggqHH5lcrUYKRH6s4dDVnGzWuw0jWF7N9gWk80N4jqeYAPhecquBqHbn2x
jGypDm1a+M8Af1HkEiSz3mWkj/kHSzoubngfMxCMsva57ZXTgYRyG0jzAznQ8SRshya9JXR9Xxhr
L0+mdFOxGxC6fgYtvbIMVjOTvUIzZSRxXPyY5nZ4wIONvwKjgcDbYlYrHdFAu208FKakIBHetXdp
jGD62hpqoe8J/Jqt18j8gbvsx36PES4k3GSmwdUhc4oYkHRW6LlVcYlQO4W7zeub38Cft08FfCs7
csuMVpRm5KAjMehNAHkKY/5CXrL9E0V19SUwKR2584SkS4eBJvaWpigjqH2vVVGyx+Il6p+BFGHM
l5Nd/cpq/lSs6625T+cChUUSLDfJTApn6QjxXdYV7dJcAz5i+wWT5UQYBnIHjyTLyNS74sEHguFE
Td4Wz2rIsnHvGrJ+CuRERo8wCmb+/awBhZmgleISooHN7Hd1x2ga5vpguoM9HbKuHnnTWaafO81j
SK5NdZvFa0c4Y9zQlb+edb+MGNgHUbFkSC2GsVyOWh38P/bOqzduLE3Df6Ux9xSYw8UOsAwVFKxk
S7ZvCFmSmXPmr9+HCraCQ3urF6OLrUYDMy2pSB6e8IU3JLA9cwOYrQn5D/SsWueR2wUalaRZxBnS
o5E7grgYY/G0UvXypgkmjdJgEkMISjliDU+YzOa0RvX0sm1yTbCluC7P5RmmFG9LSJF8RjLsKAZ9
CBimauLcFaVW6ZABmapzsTWkycmsIbgsFDXobVhxbE4itXXIUileMrlyHVo+MLW2Bx3gmUg2vasB
m7ALhTVURBVxAoAH6ISyJ2Zo20cGC7kZfIh6g6H250oXYKzUT5zmcK9gOdlTSkWWN6/M01mdZZmn
gj7DONTMtXOKkJBm27pRAPAMk3YWNQK6DcYwNOaqntqRnk/SrzsfbLEwRwBWgqQr0UphmV+kE86S
nin4Ej5/sB0cEgc0AgDv+IondVTnD+pmyq4EgAco0SMiVwH7MCOkxIxGYciFcbpiHQEUxNqj8L0R
QXlxXSgLu3EcEauyUVqvEzsNJwKWqlSzzgZONCfUwPOFSwJaBuB1GuaOjzts7sDOa85aWOe5OwyV
clSFaG/bQIMrk1aSgdRxxZYMskMRNJcQU2vWc8fgeai9xBguq5EEuhnG9FdVLbQPyM8LH7Nhyk5y
1aLWD2oNGkJt6XOxtCymwun7pLqNRLG7FeVBt1hKjXJRVtGQ7iNiJMrrkLr/odLMcCfVNoCJOdcL
6E739ai10zLPzjGgKT9QGG4+YfOAppQipf2p74N4WRndbJynYDUuITRHho31VlnY9ViZGf2bSTg3
/G4+gwMNf8iqk1LyJMrdsS2HChxwWJEKcIsh/QT0urvNUOSI7aKf89bV85nRAsdE1dXXdH+01XSu
9hNQD90xGmHhVTsbRwQIyRllenMAbJPJ0mYu0iFz+0EYK9ZOgGqPAqL7Rp5ysO9lPQ+f9KUgBkaX
U0qYdPRwWsThCjKVGaqL1EiVvEbHLWnegcfm2oEuFPJ6ikL1lI3CzyD0YuFox4rZRusxMqKN2meR
7umUqQCh6WK0+BB0qBe3CsHzfh41PsTAtqpbr6wUiBSpWQ/92g+rZHJ9YNH0dFWsHT3yDuG8Ql5o
XgVyNLOQqN251IYBWCGtCDJGgOa7TuOhLS8tn2iTroelNushpWnhGkGrHwxRgkkE1NcaRwVzVGun
HwuWD+dGW66w4MYOcoAaObqhUlqXtTbrhNwNGj922xZm7KpTT9fTh7VXOrJWiPqB6Idiu9YIgSQ7
n8os3oxzBUOAsHmwl7b+bYEMPmipYjKCQwWxBROzkJhKuh+C+MktP/wyJj6mgIOc9vLKaOvhEHET
2fBQc0b2MwQHirusb5jv56Jpb8M+qZdevIFMKbYusehp41yfDOogag5LpqnPRT+RD1AFlU9Q1pgA
8Up1u1FKuc29zGyrZL9XfeV6xqVldESYkACCYt3f6vyZeYha9Nw7wSyC99JasxE8EUCcDkl+TvDd
gJZxII7QJU9mSeKkUWsJrWqxLDC3qnx2Cdp8gMPppuLnJWnNu06JYIbl3PQ2CKOZLDhbmqWl3/pH
Zt1knVsPXX8p6lUS7FtBIMzbnr39gtkR3NLHAoOJlcx0CUo9uYpbI8qYIrSwCeTy5rRNazFyclq/
9arqkNFyBhRTDY+2PDHEYnGgv/MLVX2fhwDwFiyked0iORBta6UUCWGjBXkcjNQYMcrrkaIOyIsa
D8EfubDhbOUfhWIu2MGKML6eOtjgQKJCqYGB4GfbQVjUGDvFl1QvUBZyIvpSIBWNPtaAO82BjuiA
NMiibcTIEDijLsDkoG7LyTFXUVk7Aajbxm7Nyejg7JZl7kqVqQ1fAgW5q7XeMqSeSkYNeq5XoggF
JCswHQNq7oeqSMEVELsgevXrnOw1zoLKkEngAr0RiDp70/Mkhiw/UcpILDa5H077ijTWV1TWpxZy
AtKzU55kH4ZJzU4NxIO2auuPnl+m6SE4BNO5u5X/77r8i3QetxP5yZt5ZTB8DyH6cePl258/tl6M
PYRMFkc0invgUcjvvhskLMQGyhXSouC7/OQ7imjxHr5TflWXMp1J9v3YewFFhIofZpLioiRDNUn7
k94LueaLBJSbQh3nrk9BtegVqUxGrlevLDPY1oHBYVqBps0aLyc07ulkD4rAQe9rTbpkfNRxKreE
cPARzHiIVztJp4/ihTKBWamaSt/XqxBTGcNgytm4by0igLgxfUW1F0ioFQInjSE0SGtRHZphC9BC
e4+9UaK5gUZk6upDjTJ+BJxGPgJxv7iSYBcU2dOgqpU7jbnxUUMfZra7ulfoOwyqDNxoFMBujBJc
r9jUpg4IThBW3miVkCYKWIAq8V9Z+KumTRXfLonjU6dP21SAi94ttRQ/Spv9qOZ6W3RnpEMAgaYI
Dj6uIqeXq9B3EwtHPyIEUzDdeKKdb0MTJ7Nu5ZKYQTdUsoe0MEjvQkMITv2USOGwAL4qXTaxpceO
ONMvWmn0nFsbZqp1XPnppLBPi8httCInmt0aXTVvBm2OzyXUpiovEiOkaIoMVq0EPT5wqPAjdZPC
RbtoQz//NINeX8SBTe1rIA1RgcCjGUj7RmORIfoTIjT2pPuK6eBaXSAK2M6K5KADU2cwdgqldxXy
tNmNB1UigmnM6nokMjsx9TS6jNBxaOwZjncO545X5LRDhcKLGujBhV81KaoTVUadVIn74GquyKjQ
rwDVaydFB5pabXwRk2eyNdHBr1SuHfAr5MO4zw8z4M+4GFDJIe+2M1XIQkeaF8eDSMs7MFRjE16q
VhH3jqqHSGINAKgO5wJtYkefB2AoBrIl4zqPgxxrh7oCgZJqQo8ZtAC+BGaL5soF+XGhDlgk4+9O
1B130bggikTjpAK3Li65rRnZAGqzTWrU4RHruLsBXGUli8eSuI8lg8YJIzIJSFbR8xLS4JCqRMx+
q6NZBrq/KamcNCHeDaASdIouqEd1qPLMpXhGlQ/9PzK07F3XxVLhgjpJa28uG7n0gEoggaELulQ5
oBjCy0nTi8u47sfLJef4CJGu0hyk7Ic13vbx4GlGVx9MZc5RLlZKiRsROgsLq7HaxGZFtWCcSIQc
LC2tY2Po6gjWWIcQzBTL1eEwDhG3m2WpeZI2ahS6plYrOvO5mxcUWCGKa32Y886zprEcbDFHosMZ
o1A+b3O0R8iDDb1AJKFUQpf4WNPJWkPN90Cu0ErSIkua3GrOa2slKBz0cEPqYTysISSOHjRr9UDP
KbDcn0H07P+muQtdGSQcZGqxFHspyT0/DcdqhGjop9GWmn97kDRypa9Cq6s/o0SU/bZS92qb1Jdu
wmImsQhdiksd70mZUi2nylQAQ23b3BKcIGxi15TTxMtqSJhPDpMfdKqX0urTkiDdJgrYFBMNFSWB
V9ahJar6rdQO8RZ5sMpF37R7L0kVAnN6pFz4lvk71djXJwDXg1zPsyGMS4P8+aO1+qS2c9DFW73u
Bi+dhwEAj56Lh22GuMivn+2H11qAsUALeH0vaX3hGOqWr0vxtp7qoCF6BXfFaSy+D/tQO//Ta6GR
SajE3ERpjYP0+XNpZpfpWanSdg8tZb+RlfkdCbNAulEOv3llr8rLsJyWYrkOrkACQ/WSD57I05Aw
MdJtXdYsnRhtr3cjqDX1RE6bWbbBY/mBM8u+cRJn+KuAB7Rqy5V7P4kP+7BIwecgcwIXpol+p3Xy
eswNbom2rK5wQksGsc3TqTsrFGkCqslbpSlDzMvC7mIBFA02lJTfddFflrMZB7DIC2cPFDAj/2KZ
UDaFjIg8yrac+2A1NrrmGmOkr379ZtUfXQaE3MKEB0BPf+v5I/ncgi5ncrYtBlz6XFHvpvOkV4TY
mTIRVFdrtOb7TO3VxFGMRqxIHzsK0LEh519GGHvJ2oj6qPRQvWsjl5M4VnHxizJUiiiKLkpSpv5B
GsI28OZYIZVdMJiHLU1tZDsFAUpmW5bNh6YqLH8TmpS7XF+c2xMS1kDBa1CVDrIAJx+X5LVT1kC5
URSSoTbpdjjXJfJtqEIVmwkLbdSAqDbUXkliRWFOD5XajZHt7KiAU122AQfon6TS1PpDa24s31O5
/z9elUgZAP4xeW/0tF7KYgMfwJa4H7Nt1HEG5IHvO6U5wXeXm+2v39wP5qIGFsFkPRL0ai870Epk
ih3jSYomFeGRZMyfZt7EoVVPl39+IYAceKOAUUHo+0WrO1LhLonUhbaCATrT90WTmHZUnVAzftdp
Xc6Z5/s1/CZwMKiFc8W73OHp+kJjABHGPCW+pdJ+hNiE5SRpcwE2m05DUisemiRff/10r+c/zcfl
cADMJZI0v0gExXaQC19Vsi0dbMPt6BFsJaNX/vhlkWrIdOzRYsTL9KWhc4KCW9bEBvKYVRpFzjS0
6X7Igptchdbgb7bQ5ZafjyIwMLpzKAqgCvSKzxBoNQRoIMZbtKtE0xV0wkW7lrpm06QWIlpyCphS
qVHNWucYhwEZnxFd++NhRWFmUZkBhLGAMZ5vKyqs1jYZu2JrkMPHNvJ0UWq3lSmP3t2F/j99/heH
IFHEYuMOY9Zg9kiENz+HMG6w1Eqv8pu/Tq7K7uqpGdQPv+ghqVbFPXYpkysBzTFY5N+SasXY49ow
tQ2WBd7SACwek2plTxJ1Wq2UTbjHBRnxPanW9mT6W9B2LJAj/BJ/9weARjTwXsxm2uZ8DW1t6U4d
AyDb85k0FViyglyLj5DJhoHZ0ehZ9yKMN/DyZoXsjyZvOsDuB6jZfeL4Pk2z5syPsZcrhJUoFNJx
bgaHRAPahmBW3qKiY8ej+GGgt9C00VnbKh/50vdogEFSm+Rjq6hvdLx2bTj7wTpQaO+GynWdm/wt
ueuqHIKbIe69UkrWo0+KFPS3TXwqt+2R6meWS9nzc1v5HxaDlyTsr1qjr07FKFhhBGvDkfpYhnpz
VIr6RUgWuLLqjuJ+TCddSPssH66H3riEAxLZ2SIvhwnHpqRxDegsc8nSIfC3U7KqhuKsTG7zkjy5
bMLZNSf4j73ptkG9afyjXEK3yZzwEUASxRSCI/TU53QAW03QK1DRPEA81joLQLJApF2F/WR36bhp
hnYlU4XFA8lsbLHs6J0mYuMwg47iMdxvOMNt0IqlqxTmCpuayywT1mi4fqLpTgdJ7s9mv9fpe34B
prQfxqfE4NmRWcwhGjPBF1oenzA6xECy6k7TKEYuDr13qoaV76JBXSwap2xQ/vBe6uEFo7gfb6zJ
wryliW3aMqggYZftjX3mTsbwYSQHPZzb5qjQxf2qNntO3AwAgDogHFm5eZh9ohsXOFZl4Y7rX4Sl
bKy6bkKQda6Pw7K+1ltN9cjpP5aRZoAWqD71KNA0RbtOCvmoqnR1JU2Ses5cu9J69lGEca9SKd8P
BCSn5Mk8mNG+XdOAQcJEXytWcwpQ1O60/IsB7cJRJsM4K6BAOGnJdJGFaLEV0/yDROvFD0YAO4VE
GhgPqHq5PdGlrjjKo1A8J724UvqpP2DG1FtYnsk7SuYoHedtjwaX2LcF4uNKFjsEPmHjAn7Q31Em
Alle59mwGjnPj4zWMsnnharxVK6t2GFcCZ9pW/m2kYnt1wyh0k2vURG3K4W2n2ak3Q29m/SMrnbq
hrUPTV0LIn8LH13bqmFGi0kuev1IbRmerDHUwJ5Fyiwy4dtRblbV1lSi+DgcB7m1VRrszgz5YKTJ
LsTuqOr5iaAr822UYh6E5mN/OivlQCesaLwgKrPjNqXErErakCLYHlvHqWJQTshL2PcBggpzLpeV
LajDtFaGfDwjSI5pOmlpfOgjDC46BcvkKJRIVWZKbR9T9M5WoI7MT3VBVZsu9iAe9FlmXS1WzMg+
9PHU20kr9ls6ROkmVavBxQ8j6wEy6LS6hzhvqMP0ExqziA9kR3Ovz+eRkEo4g8zVWT6H/lbSpFiA
edaLGKTHmSuCvXHh7uCdGdKCqaPpVInzeku+P34VVNSL0eLATkxKDoxRP0WaXYLdAmmhnzvxTGiE
G8XPa681MEtHCPYmsayUZskcnDBin1ElQplPMkGFZv1xMmhfU1wwV1S42gM11ekEdsPFqAYKobav
b6npjWtf7FpMNYXwDPaJ7DClGjAHygQ6Qyk8ecj7jSHHFBMzgFKdHAtHNDLRRGjoafXBRFuoY9El
gWeWFu+xM9pDM6WzCbXPbZMB7TfpEPLbRde2MNNbhHwreCQHqYpIg4UiHBDnT2jqbvJZ6M9ELddW
7B+KbSp+6aGP+7XsyNhQ5MndfFI0z2/mENgAN9DWbpqkmVf6lJEA6W0gYbK9JNNMZUl9Hw7KSap3
xaYXgoO4kf1tKej5po8QMcl0UB1TqV76cQYipRORsM39o843tmYmnSE97O8XfSKuBElhw1ML5aCR
zENJpmmKZUlMSS/PPfpE87EcmpMrR8B2aFN9DrS5hOMUm1+nOb2ZEFs4xLv+WKiDq14MInhOlW64
M2IjBW1dJzSG4HoQ8q3iz8FaEXqsjQzDpfWP9t7QH9GgxLoAI8AJM/DjSR9dY+pmjxreTZGhuR2V
B1JTVttWH4MzdUS8w5joltS9ECHWpa+NpD0ogrJ1NXH8EMzlsR4ioZuYsAQLymkV/JNzmVlO59kr
e+OwV6bGMzIJUgoyE5ug9ffTxoLc3mvdhdCUwWbmRF7ruaC6sz7OsN45N3wDLE/eIe2F+0DYO5lf
GXYdBucVFd+LIIB4TcWaLxmcYEGl6qfI9TkJzgdTiAmr/GFsrsN8W5S97YPOieblcJSjY2HMz8sp
OqOruslAWjlxPsUXFITfo8x8OfUIK8eFBvJIqD0yrsA2Bm3dtgdS1N+I9ZLmgQ310Nsn0ZKo0lqp
0XR2lBbHvkAxHjodJ7lgXljMZCn33brkFOg0hHaDQyHqv+aD6G8IYeOLtAQyMkWWO4YZ1uv9jZDk
KIlXFIELuuHG4oICE1RcqxTsHaZTD4ZKUckZrtSoXfmS+WEW3tVZegKge9gGTXKOSr6r+1W5zUex
s+cUTWtNKY+EgsbTmDJ/Ym3NJk9XQBCRF0yPy6xJNsPQUVINZsURTVTUp8gdSzRhQgUIvX+bpNQc
uynzIOAnblZl+f7UzqZLZcLcbynRVCHCGIEqfFyYuG6ZSwc1kiX8JwvApJxclFh4nXc9YAh9RkO7
1By0jr4sz+PlheomWfZJBytpV0XAESl0B5kYehjMVU4fmm7f5q7WnnW6QkG/BOdA9/mw0ur1TBbB
HlhJmzDO9qdI1tc8Q3XYmXCYak2I1nXPXtzoHN2xsYjL3eqt8dkaoTrQEbgYymQGnTeqdj2dBLKB
GhMAYiTcjVVOobn2xaM+q85RZ/qQzSVeHJnin4o6bcJJTBWE5DH/jSPtWANjhV0j2yPywqLX92je
U0O7JI0WnKZUFDuaiKv6Uk49tLc/+612jsjLu0Gua7sbaGoO6K4EwLIcs6g3aTqcaxgQm35gbkl7
r7VYgo5XZt7QSpFtBvqnVtPQ7ZrFj1pNK7oXZVxLSh0K6cjbz5LZVXO/+BrlSnOC2on0uTC01hUM
PyoQ4lJKPJ1lrxoNMA+VnGzGXDqRVdjoUaGFpw2Mz1VhhfOJloDmKqE9YueBcjP1Dx1wjRHOjV0B
B/8iFwI4FFSkVnHSXqYZzMIygqFmSBHtGh/oYo2rpzNQ43aY7+X5NA0SuLIcKu/iSgjwQ4y7fNtp
NXWcHDBcTn3lXLOIt/DS+9oRRb7rAp83lxxrarUucrA2WowSvlZfK+C9bMxUEQZMDvMYrd5S/RS0
rXaAEl9FBwhrFkcFmX8xwhVHuTbXr1FKgVEOFss/GlLBvOnMFukfrWizdTrnZQx4dNLWgxJdCGKN
gBNS+hVOE53iAknTzrq5Z3djGZ3WBv0f+iXSJuuHVaapJy0y/vMUtAgOgQCbBcTJLfn9WIaa1waV
4hCnxfQAshOhAfkgTYeYRmxAv6xLU0B6CsXbMQdskKcfxrQ9Vqr2NOm4V3PCdjHILpFvvZya/BAX
tMQepmlN5RfZfhoZok53JbS2dZGFtt70m4ScZZCERT23cSk+O2VunUkFhSukQ0JnrrKTsJWsbd+r
pk07Kl41fnhC6z+8CWTEFLOwAfmolSpTyWSpYumgBOF4mkQg2BoD7i+NnsYxRoq+NLBnN5mr0tUk
KLAdVDC7k1DwNaRbbUJdBxqpnQNZv2hyOXEo0LkjAiMh5bqVomj07dP5oxxZx0PfoCPdqz2eOHG5
H/Zi7ALiLh1fEaQ1OuvtKiuJRcdwPNDjNDiBj2551PQ7Ly2NL0FPGzKEY7qSa/G85EQrdXEzdWgW
BJ+nVkfixNyy/o7pKenHqgGF1FeJFJvPli642ZgVa1wgtC9CeSorebVJ5PlIB3+ZWaOjtgjyIhoK
n9o6ZrZTYSyAVTf9CZ2Vm17Tv1RWfx4kzUGUJFshbE4NikdjIkhfq7YdGB4fYXAymDXOcR1oA83y
qtRXzsKpRrp7MlatIJ/IqJRbWfq5pMLizLXcbOrBAJQVsvxC8b1oygIaZKQksxxDr22kA/AVmXkk
CnEP6WTS+SqQH9lK7Ek3hQRacjJYLSCmWjkUaqDfRp/MGyDvN7IRh+dhostEPemVEMsXsTl/NSza
oJmVGad1iu177tfDCojJ2mwSBFEbMh20B64zYfYgLB33wEJTMccCtO8ugyz4gqvD126sMkdr+3mb
x+opEB8KMIsPpl6q7ygnfRokJNKFqIg2TY7wdcGmaMacoDIaB2emxf8yqxRT9moBV5n5lziOzAMi
rwJptd7yegNWcJbnePnOiNfhUbE0I0vBXGkV1HmETnsvDINuH/Gz4qLM03eGIXl1Pnua3uEN3lzF
k+m0VfZegnHsAUG56lR5JWWoBioolsLbHcxPnTzhDSUkR1aGp0XfGRexFLae1eHZhTxH6GhCo4hI
DamqdBkHxCQKf9J8VReJQ1jE/daKsbX3hG4wAXinIp1YAHECGDmfVOJGHyrcmuDQO0ZUHVVBulEq
IvPZWumN7xaDtJrC3p1adp5ixp8LdKkOiZxIX4AFDLUexygNNYUuVnqaykZONzvCsZXsGWqX/LUk
dQByPHgdYsWR0tmKJRwm/S26R9yIrkJRmietfjcjDBhW/edBUI9g19+0JeBvGe+xqROv4ZeFdm2K
ZEfmKfo+XluOK8XI18sm4xuaB6z8K+Tt/WDQTtU43dDGkT7nHbbS5kgGYeKxIIT2ZIofx54SfjCq
Z6ic+BdxDQ5/COLjaMBuIJfP2qUQkFlAfpRkNvb1ZsMyVraJCKBpHsCdjkqzGUhX5lY9oQ9PfBQg
Qe4PqyoATD4Am84LmP6dJeWHZp4n26Sli9h3x35p5sd92vSOMbSg2JmIQz9tgzJ9r8jjwFairPxi
+EDOgiJ+DT4AHbJs3VYf6j6hg6obKeBGsTmdZv1jhWAWWrSj28H0coUiL1FZMq0V6uSdC/2GE1jD
1assO3E1qzg+WCDjPbCxqdNkvXAeGsYa4yvYLYi8NvJnOOYkbSZx2KdFG7TPYkCynRqvOnnwHSPJ
UUuQ9eYy5+gbZu2kx+HA8XX6yKBuE2Rah/pyFmIP7KAk816j/MufVzn/r0jXD6XWBZvj5W3UTqfd
bT2d3TYdrgmPtbvlpydYZrXvi//dL/36i/66vbvy+6m8/a9/Xd1k+ORETVtH1+3TQuY3XaFnVdC7
27q75199S3rFo3U3fL0g71GbNGUgRIgLLR9Km7Dyg4efS6K6RxMHRjZlTa70ZHx+NgK/frj7ofz1
7/zq1u/HZnvzXyCqKKwuvNPdBkDfg8MtoXxN6ffuQ0312QAYezp9ebjPjMzbGgGYR9gnWA83dg9w
+DY3/2QS6Hu0R2DqyzTQ7z70op6Ngb5HC4UO7NKr+Y+MwXXR5e2yEIOoeK5IsKAZ/84MePENT5YA
VX8Ur2j50ve6/9AXe/r4kronwfCCTQa/cvn8hwbhp3uBRNcBYXz6Sn9nJF58zZORUPbQZqCnz3p4
+DwfCFGmoQEvH67C/c/f2kDc7wl0h3cbB5Y8EmsIBDxOCDa/ZxNC3lsaeQQt90P+pnZFdjL5frPe
YUdQ2PRURGYX9fVnT27tLdJV9Mje3JM/7IaLKPZOb1/c4/l0iQDocRG82A1l3r6mLRat1t38eHPn
wjew8E7jsIQG7AWAuH62CrS9JWq4Y5jeDdVb2w0ez0eQZ7uOBNIui2Dz44zgBHi6KhRlbwFqAZh4
2Djf2kjc74svW+Z/HCwae9RhCITY/+8/L4JFSdwTRZJLOstvbQQ4IkWqmn8zWPj5EWmCu0cjc4HO
P50BsrgcGYs0whudAXfPLz+ELjsdDKwCuOWL2+7d58UUkKU98HkwzheMBKvujR2NpDo7bgbyHoci
QjrgPe4/z/MFy9pjI5AlhuDb+LytYXjcFXcdCM4HKssLi4R46+laQOEWpCYH5KIOwufNTYTHSGHX
3JE1j9oK1SkkSO4/LxIH2djDRU+EBfPmxsBA5Iicb8fFIBhkDJB7LO1FjMRJAOIN2Axbzt3nrW0G
DykTt71baGDuIXsk8ZQPqeGSETxdDJLGfsE/b/NIXLLGnbMligPIUSCP9LgMXgwB+wFMCnC5by9n
WOIidJN2nQR38ty44rDW7z9849NJIJJOiYuu9uIR/8ZOg/vSwa6HgbgHbF4GM4/06sPnxRBIJE0S
+Fv5zSWOBv2QRcPHQPGcDX3BJO84IRCyJERAi+/FeSDpCGYie6RI9/vOGwqO7uPjRXN+t/2QicBi
X8KCh6WwmDg/WwucmuwEC03n7jfe3sm40JVewYv/OFcCF7x4BhhLrHz3eR4ncmTsqTKbAlTdt7Yn
UOxeZFl3mwgUSSBIIEB1XyR51VhQzD3Wm4n65tvbEO409HYdAeY5VSJOhYf3b1kvc0YVJwjsiimm
vbUZ8LAb7BwdsemTKQKdf3EgSsoexTMo6P+xhsKLDP97W+n+0Re24m7z39yDjrTUz3DmuPu8HAJj
T+LYga1033l7c/vgY5a08yRYiuXIEXC2Pq6E5yeCRMpM88WirPDm1sG93vVuM0GkeSbTNfkeGr0o
H0rSYgmz1NTf3gDclc3EXfdCgQgZcgwFshfRAHUzWK2IeEr3Mddbi4jkhw3qf18xU0mEOeUokzzM
ftbTk3jIMogVURzG8fA+YHpzZ8EiRIoN4q77obpHSUgTVUhN958Xp6GoMRBUJQzrre6H90vhH2gv
wS6jt/gYF70MkJckAS1B9M3+IDD8G+vmG3zFCaP0xlswJtFt8yN8y89+4RG18frnD4iNBZZBp/wb
ye3uFxccy/217w/Z5f//+9nxe1ckfvLDx6Lx0z9/eMDXl/7hTT3+x010W1/V1yH43AXM83Cb764y
oC9/w+bg5zicbyfCr67winz4EFh/f9RX+J6/9b3n5e11dJX+dY+G+Kv4+tenIpiukqu6vXoGEXqs
8e16wXcFtut/nf/M3Iziwa5XOP+9fdqOL+PxGdIrhJKixzu+BxLRMl9Er/6ph/jJJZau/K6XOLpK
u6R7/J77u39IV3f96sOrrOzy4MV332/9u373/ev9nbTVjm/Yu8K3ZP+qf74G7lBiBBe7PoLDF9Qs
uh9fgMNs1wvc7Uc//vZ/YG7uX2VfXsz6h9Lnrvf939e34ePT3x0Ayzl5Fzft+s13s2bhZrP1vF5T
d4naXUdz1+vcjfwPdrfvNbFdr/A4eX68Ar5n27te524J/PIihC+7XuTxYX76UtQlX9j1Kncv5V3X
XP31/jYPgqvnrprfs/Rdr3M3ZL+7DnnZrtc5i66e7ds8wdJ9+QfOBJvxSbr0R99OMrHrfT8GG9dX
ZQSb+0nQsf864nh4qH9gu7Xxn3q8+YddZRkuQuJdH2h5EX9toY/kN83jt91d4R5Nu2hH7XqJhw3l
B3vWwzX+gcdYF7C0eSHF4+0+fYZ/YJXfx0uv443HstA/tcRfBcmP+AQyzl3fg42B2e1zuPB3yPQ/
8OVBciXYtylY+Tz4xZRa0FC7Xu3+dfx4a/9hA2vXC94dvsNiBffqDVHKoHBPd2upad0Z7/wDa+bx
VHl9tcUvzkTxRBN1E4z2nX7Ork/3pwIxO4am9/Hvjx4NnBQdEh1xGGYm//5upvwoD/6GsnqdHT/S
LX70Z89T/+U3rtPbq/rf/wMAAP//</cx:binary>
              </cx:geoCache>
            </cx:geography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1</xdr:row>
      <xdr:rowOff>4762</xdr:rowOff>
    </xdr:from>
    <xdr:to>
      <xdr:col>9</xdr:col>
      <xdr:colOff>80962</xdr:colOff>
      <xdr:row>14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51247-E43E-2BBA-2987-2C7E2EBCE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276225</xdr:colOff>
      <xdr:row>1</xdr:row>
      <xdr:rowOff>14287</xdr:rowOff>
    </xdr:from>
    <xdr:to>
      <xdr:col>16</xdr:col>
      <xdr:colOff>314325</xdr:colOff>
      <xdr:row>14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DD1230-9A28-049C-21BE-1A252C0E0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276225</xdr:colOff>
      <xdr:row>15</xdr:row>
      <xdr:rowOff>109537</xdr:rowOff>
    </xdr:from>
    <xdr:to>
      <xdr:col>16</xdr:col>
      <xdr:colOff>314325</xdr:colOff>
      <xdr:row>29</xdr:row>
      <xdr:rowOff>52387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E4BC96-F5B5-9AEB-C019-045D3EB7E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266700</xdr:colOff>
      <xdr:row>29</xdr:row>
      <xdr:rowOff>166687</xdr:rowOff>
    </xdr:from>
    <xdr:to>
      <xdr:col>16</xdr:col>
      <xdr:colOff>304800</xdr:colOff>
      <xdr:row>43</xdr:row>
      <xdr:rowOff>109537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D2EA041-9ED0-0526-657A-34AD17B4B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466724</xdr:colOff>
      <xdr:row>44</xdr:row>
      <xdr:rowOff>42861</xdr:rowOff>
    </xdr:from>
    <xdr:to>
      <xdr:col>9</xdr:col>
      <xdr:colOff>85724</xdr:colOff>
      <xdr:row>64</xdr:row>
      <xdr:rowOff>123824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3DB0D2D-DB77-52DF-AF37-BBEA724FDF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29124" y="8760141"/>
              <a:ext cx="5227320" cy="40433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d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314325</xdr:colOff>
      <xdr:row>44</xdr:row>
      <xdr:rowOff>52387</xdr:rowOff>
    </xdr:from>
    <xdr:to>
      <xdr:col>16</xdr:col>
      <xdr:colOff>352425</xdr:colOff>
      <xdr:row>57</xdr:row>
      <xdr:rowOff>195262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1A0817D-22CB-867B-BDB8-AA7AD7E2C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selection activeCell="I2" sqref="I2"/>
    </sheetView>
  </sheetViews>
  <sheetFormatPr defaultColWidth="11.19921875" defaultRowHeight="15" customHeight="1" x14ac:dyDescent="0.3"/>
  <cols>
    <col min="1" max="1" width="14.09765625" customWidth="1"/>
    <col min="2" max="2" width="21.3984375" customWidth="1"/>
    <col min="3" max="3" width="18.5" customWidth="1"/>
    <col min="4" max="4" width="8.5" customWidth="1"/>
    <col min="5" max="5" width="10.69921875" hidden="1" customWidth="1"/>
    <col min="6" max="7" width="18.09765625" customWidth="1"/>
    <col min="8" max="8" width="25.3984375" customWidth="1"/>
    <col min="9" max="9" width="16.69921875" customWidth="1"/>
    <col min="10" max="10" width="19.59765625" customWidth="1"/>
    <col min="11" max="11" width="17.69921875" customWidth="1"/>
    <col min="12" max="12" width="18.3984375" customWidth="1"/>
    <col min="13" max="26" width="8.5" customWidth="1"/>
  </cols>
  <sheetData>
    <row r="1" spans="1:12" ht="15.75" customHeight="1" x14ac:dyDescent="0.3">
      <c r="A1" s="17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</row>
    <row r="2" spans="1:12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.75" customHeight="1" x14ac:dyDescent="0.3">
      <c r="A3" s="1" t="s">
        <v>13</v>
      </c>
      <c r="B3" s="1" t="s">
        <v>14</v>
      </c>
      <c r="C3" s="1">
        <v>47068.84</v>
      </c>
      <c r="D3" s="1">
        <v>2021</v>
      </c>
      <c r="E3" s="1">
        <f t="shared" ref="E3:E257" ca="1" si="0">RAND()</f>
        <v>0.78466216523873733</v>
      </c>
      <c r="F3" s="2">
        <v>50000</v>
      </c>
      <c r="G3" s="2">
        <f>(C3*1000)*F3</f>
        <v>2353442000000</v>
      </c>
      <c r="H3" s="3">
        <v>26</v>
      </c>
      <c r="I3" s="1">
        <v>9800</v>
      </c>
      <c r="J3" s="2">
        <f>H3*C3</f>
        <v>1223789.8399999999</v>
      </c>
      <c r="K3" s="2">
        <f>J3*I3</f>
        <v>11993140431.999998</v>
      </c>
      <c r="L3" s="2">
        <f t="shared" ref="L3:L257" si="1">G3-K3</f>
        <v>2341448859568</v>
      </c>
    </row>
    <row r="4" spans="1:12" ht="15.75" customHeight="1" x14ac:dyDescent="0.3">
      <c r="A4" s="1" t="s">
        <v>15</v>
      </c>
      <c r="B4" s="1" t="s">
        <v>16</v>
      </c>
      <c r="C4" s="1">
        <v>2728.33</v>
      </c>
      <c r="D4" s="1">
        <v>2021</v>
      </c>
      <c r="E4" s="1">
        <f t="shared" ca="1" si="0"/>
        <v>0.1229066335673521</v>
      </c>
      <c r="F4" s="2">
        <v>34000</v>
      </c>
      <c r="G4" s="2">
        <f t="shared" ref="G4:G257" si="2">(C4*1000)*F4</f>
        <v>92763220000</v>
      </c>
      <c r="H4" s="4">
        <v>21</v>
      </c>
      <c r="I4" s="1">
        <v>9000</v>
      </c>
      <c r="J4" s="2">
        <f t="shared" ref="J4:J257" si="3">H4*C4</f>
        <v>57294.93</v>
      </c>
      <c r="K4" s="2">
        <f t="shared" ref="K4:K257" si="4">J4*I4</f>
        <v>515654370</v>
      </c>
      <c r="L4" s="2">
        <f t="shared" si="1"/>
        <v>92247565630</v>
      </c>
    </row>
    <row r="5" spans="1:12" ht="15.75" customHeight="1" x14ac:dyDescent="0.3">
      <c r="A5" s="1" t="s">
        <v>17</v>
      </c>
      <c r="B5" s="1" t="s">
        <v>18</v>
      </c>
      <c r="C5" s="1">
        <v>176.23</v>
      </c>
      <c r="D5" s="1">
        <v>2022</v>
      </c>
      <c r="E5" s="1">
        <f t="shared" ca="1" si="0"/>
        <v>5.1605210927493816E-2</v>
      </c>
      <c r="F5" s="2">
        <v>130000</v>
      </c>
      <c r="G5" s="2">
        <f t="shared" si="2"/>
        <v>22909900000</v>
      </c>
      <c r="H5" s="4">
        <v>37</v>
      </c>
      <c r="I5" s="1">
        <v>17000</v>
      </c>
      <c r="J5" s="2">
        <f t="shared" si="3"/>
        <v>6520.5099999999993</v>
      </c>
      <c r="K5" s="2">
        <f t="shared" si="4"/>
        <v>110848669.99999999</v>
      </c>
      <c r="L5" s="2">
        <f t="shared" si="1"/>
        <v>22799051330</v>
      </c>
    </row>
    <row r="6" spans="1:12" ht="15.75" customHeight="1" x14ac:dyDescent="0.3">
      <c r="A6" s="1" t="s">
        <v>17</v>
      </c>
      <c r="B6" s="1" t="s">
        <v>19</v>
      </c>
      <c r="C6" s="1">
        <v>881</v>
      </c>
      <c r="D6" s="1">
        <v>2022</v>
      </c>
      <c r="E6" s="1">
        <f t="shared" ca="1" si="0"/>
        <v>0.20903581674045812</v>
      </c>
      <c r="F6" s="2">
        <v>130000</v>
      </c>
      <c r="G6" s="2">
        <f t="shared" si="2"/>
        <v>114530000000</v>
      </c>
      <c r="H6" s="4">
        <v>37</v>
      </c>
      <c r="I6" s="1">
        <v>17000</v>
      </c>
      <c r="J6" s="2">
        <f t="shared" si="3"/>
        <v>32597</v>
      </c>
      <c r="K6" s="2">
        <f t="shared" si="4"/>
        <v>554149000</v>
      </c>
      <c r="L6" s="2">
        <f t="shared" si="1"/>
        <v>113975851000</v>
      </c>
    </row>
    <row r="7" spans="1:12" ht="15.75" customHeight="1" x14ac:dyDescent="0.3">
      <c r="A7" s="1" t="s">
        <v>20</v>
      </c>
      <c r="B7" s="1" t="s">
        <v>14</v>
      </c>
      <c r="C7" s="1">
        <v>108284.07</v>
      </c>
      <c r="D7" s="1">
        <v>2021</v>
      </c>
      <c r="E7" s="1">
        <f t="shared" ca="1" si="0"/>
        <v>0.97345539510757351</v>
      </c>
      <c r="F7" s="2">
        <v>150000</v>
      </c>
      <c r="G7" s="2">
        <f t="shared" si="2"/>
        <v>16242610500000</v>
      </c>
      <c r="H7" s="4">
        <v>39</v>
      </c>
      <c r="I7" s="1">
        <v>17800</v>
      </c>
      <c r="J7" s="2">
        <f t="shared" si="3"/>
        <v>4223078.7300000004</v>
      </c>
      <c r="K7" s="2">
        <f t="shared" si="4"/>
        <v>75170801394.000015</v>
      </c>
      <c r="L7" s="2">
        <f t="shared" si="1"/>
        <v>16167439698606</v>
      </c>
    </row>
    <row r="8" spans="1:12" ht="15.75" customHeight="1" x14ac:dyDescent="0.3">
      <c r="A8" s="1" t="s">
        <v>20</v>
      </c>
      <c r="B8" s="1" t="s">
        <v>21</v>
      </c>
      <c r="C8" s="1">
        <v>61393.95</v>
      </c>
      <c r="D8" s="1">
        <v>2022</v>
      </c>
      <c r="E8" s="1">
        <f t="shared" ca="1" si="0"/>
        <v>0.12280764742333561</v>
      </c>
      <c r="F8" s="2">
        <v>150000</v>
      </c>
      <c r="G8" s="2">
        <f t="shared" si="2"/>
        <v>9209092500000</v>
      </c>
      <c r="H8" s="4">
        <v>40</v>
      </c>
      <c r="I8" s="1">
        <v>17800</v>
      </c>
      <c r="J8" s="2">
        <f t="shared" si="3"/>
        <v>2455758</v>
      </c>
      <c r="K8" s="2">
        <f t="shared" si="4"/>
        <v>43712492400</v>
      </c>
      <c r="L8" s="2">
        <f t="shared" si="1"/>
        <v>9165380007600</v>
      </c>
    </row>
    <row r="9" spans="1:12" ht="15.75" customHeight="1" x14ac:dyDescent="0.3">
      <c r="A9" s="1" t="s">
        <v>20</v>
      </c>
      <c r="B9" s="1" t="s">
        <v>22</v>
      </c>
      <c r="C9" s="1">
        <v>1506.02</v>
      </c>
      <c r="D9" s="1">
        <v>2022</v>
      </c>
      <c r="E9" s="1">
        <f t="shared" ca="1" si="0"/>
        <v>0.76046257852567967</v>
      </c>
      <c r="F9" s="2">
        <v>150000</v>
      </c>
      <c r="G9" s="2">
        <f t="shared" si="2"/>
        <v>225903000000</v>
      </c>
      <c r="H9" s="4">
        <v>40</v>
      </c>
      <c r="I9" s="1">
        <v>17800</v>
      </c>
      <c r="J9" s="2">
        <f t="shared" si="3"/>
        <v>60240.800000000003</v>
      </c>
      <c r="K9" s="2">
        <f t="shared" si="4"/>
        <v>1072286240</v>
      </c>
      <c r="L9" s="2">
        <f t="shared" si="1"/>
        <v>224830713760</v>
      </c>
    </row>
    <row r="10" spans="1:12" ht="15.75" customHeight="1" x14ac:dyDescent="0.3">
      <c r="A10" s="1" t="s">
        <v>20</v>
      </c>
      <c r="B10" s="1" t="s">
        <v>23</v>
      </c>
      <c r="C10" s="1">
        <v>78134.539999999994</v>
      </c>
      <c r="D10" s="1">
        <v>2021</v>
      </c>
      <c r="E10" s="1">
        <f t="shared" ca="1" si="0"/>
        <v>0.66970792366612664</v>
      </c>
      <c r="F10" s="2">
        <v>150000</v>
      </c>
      <c r="G10" s="2">
        <f t="shared" si="2"/>
        <v>11720181000000</v>
      </c>
      <c r="H10" s="4">
        <v>39</v>
      </c>
      <c r="I10" s="1">
        <v>17800</v>
      </c>
      <c r="J10" s="2">
        <f t="shared" si="3"/>
        <v>3047247.0599999996</v>
      </c>
      <c r="K10" s="2">
        <f t="shared" si="4"/>
        <v>54240997667.999992</v>
      </c>
      <c r="L10" s="2">
        <f t="shared" si="1"/>
        <v>11665940002332</v>
      </c>
    </row>
    <row r="11" spans="1:12" ht="15.75" customHeight="1" x14ac:dyDescent="0.3">
      <c r="A11" s="1" t="s">
        <v>24</v>
      </c>
      <c r="B11" s="1" t="s">
        <v>25</v>
      </c>
      <c r="C11" s="1">
        <v>0</v>
      </c>
      <c r="D11" s="1">
        <v>2022</v>
      </c>
      <c r="E11" s="1">
        <f t="shared" ca="1" si="0"/>
        <v>0.9310413524842942</v>
      </c>
      <c r="F11" s="2">
        <v>68000</v>
      </c>
      <c r="G11" s="2">
        <f t="shared" si="2"/>
        <v>0</v>
      </c>
      <c r="H11" s="4">
        <v>28</v>
      </c>
      <c r="I11" s="1">
        <v>18000</v>
      </c>
      <c r="J11" s="2">
        <f t="shared" si="3"/>
        <v>0</v>
      </c>
      <c r="K11" s="2">
        <f t="shared" si="4"/>
        <v>0</v>
      </c>
      <c r="L11" s="2">
        <f t="shared" si="1"/>
        <v>0</v>
      </c>
    </row>
    <row r="12" spans="1:12" ht="15.75" customHeight="1" x14ac:dyDescent="0.3">
      <c r="A12" s="1" t="s">
        <v>17</v>
      </c>
      <c r="B12" s="1" t="s">
        <v>26</v>
      </c>
      <c r="C12" s="1">
        <v>848.87</v>
      </c>
      <c r="D12" s="1">
        <v>2020</v>
      </c>
      <c r="E12" s="1">
        <f t="shared" ca="1" si="0"/>
        <v>0.29802129706786984</v>
      </c>
      <c r="F12" s="2">
        <v>130000</v>
      </c>
      <c r="G12" s="2">
        <f t="shared" si="2"/>
        <v>110353100000</v>
      </c>
      <c r="H12" s="4">
        <v>35</v>
      </c>
      <c r="I12" s="1">
        <v>17000</v>
      </c>
      <c r="J12" s="2">
        <f t="shared" si="3"/>
        <v>29710.45</v>
      </c>
      <c r="K12" s="2">
        <f t="shared" si="4"/>
        <v>505077650</v>
      </c>
      <c r="L12" s="2">
        <f t="shared" si="1"/>
        <v>109848022350</v>
      </c>
    </row>
    <row r="13" spans="1:12" ht="15.75" customHeight="1" x14ac:dyDescent="0.3">
      <c r="A13" s="1" t="s">
        <v>15</v>
      </c>
      <c r="B13" s="1" t="s">
        <v>27</v>
      </c>
      <c r="C13" s="1">
        <v>27037.46</v>
      </c>
      <c r="D13" s="1">
        <v>2021</v>
      </c>
      <c r="E13" s="1">
        <f t="shared" ca="1" si="0"/>
        <v>0.95868804187834977</v>
      </c>
      <c r="F13" s="2">
        <v>34000</v>
      </c>
      <c r="G13" s="2">
        <f t="shared" si="2"/>
        <v>919273640000</v>
      </c>
      <c r="H13" s="4">
        <v>21</v>
      </c>
      <c r="I13" s="1">
        <v>9000</v>
      </c>
      <c r="J13" s="2">
        <f t="shared" si="3"/>
        <v>567786.66</v>
      </c>
      <c r="K13" s="2">
        <f t="shared" si="4"/>
        <v>5110079940</v>
      </c>
      <c r="L13" s="2">
        <f t="shared" si="1"/>
        <v>914163560060</v>
      </c>
    </row>
    <row r="14" spans="1:12" ht="15.75" customHeight="1" x14ac:dyDescent="0.3">
      <c r="A14" s="1" t="s">
        <v>15</v>
      </c>
      <c r="B14" s="1" t="s">
        <v>28</v>
      </c>
      <c r="C14" s="1">
        <v>37.090000000000003</v>
      </c>
      <c r="D14" s="1">
        <v>2021</v>
      </c>
      <c r="E14" s="1">
        <f t="shared" ca="1" si="0"/>
        <v>0.64514575156189535</v>
      </c>
      <c r="F14" s="2">
        <v>34000</v>
      </c>
      <c r="G14" s="2">
        <f t="shared" si="2"/>
        <v>1261060000</v>
      </c>
      <c r="H14" s="4">
        <v>21</v>
      </c>
      <c r="I14" s="1">
        <v>9000</v>
      </c>
      <c r="J14" s="2">
        <f t="shared" si="3"/>
        <v>778.8900000000001</v>
      </c>
      <c r="K14" s="2">
        <f t="shared" si="4"/>
        <v>7010010.0000000009</v>
      </c>
      <c r="L14" s="2">
        <f t="shared" si="1"/>
        <v>1254049990</v>
      </c>
    </row>
    <row r="15" spans="1:12" ht="15.75" customHeight="1" x14ac:dyDescent="0.3">
      <c r="A15" s="1" t="s">
        <v>17</v>
      </c>
      <c r="B15" s="1" t="s">
        <v>29</v>
      </c>
      <c r="C15" s="1">
        <v>1781.31</v>
      </c>
      <c r="D15" s="1">
        <v>2020</v>
      </c>
      <c r="E15" s="1">
        <f t="shared" ca="1" si="0"/>
        <v>0.74460597599110712</v>
      </c>
      <c r="F15" s="2">
        <v>130000</v>
      </c>
      <c r="G15" s="2">
        <f t="shared" si="2"/>
        <v>231570300000</v>
      </c>
      <c r="H15" s="4">
        <v>35</v>
      </c>
      <c r="I15" s="1">
        <v>17000</v>
      </c>
      <c r="J15" s="2">
        <f t="shared" si="3"/>
        <v>62345.85</v>
      </c>
      <c r="K15" s="2">
        <f t="shared" si="4"/>
        <v>1059879450</v>
      </c>
      <c r="L15" s="2">
        <f t="shared" si="1"/>
        <v>230510420550</v>
      </c>
    </row>
    <row r="16" spans="1:12" ht="15.75" customHeight="1" x14ac:dyDescent="0.3">
      <c r="A16" s="1" t="s">
        <v>20</v>
      </c>
      <c r="B16" s="1" t="s">
        <v>30</v>
      </c>
      <c r="C16" s="1">
        <v>17617.61</v>
      </c>
      <c r="D16" s="1">
        <v>2022</v>
      </c>
      <c r="E16" s="1">
        <f t="shared" ca="1" si="0"/>
        <v>0.61236871179897767</v>
      </c>
      <c r="F16" s="2">
        <v>150000</v>
      </c>
      <c r="G16" s="2">
        <f t="shared" si="2"/>
        <v>2642641500000</v>
      </c>
      <c r="H16" s="4">
        <v>40</v>
      </c>
      <c r="I16" s="1">
        <v>17800</v>
      </c>
      <c r="J16" s="2">
        <f t="shared" si="3"/>
        <v>704704.4</v>
      </c>
      <c r="K16" s="2">
        <f t="shared" si="4"/>
        <v>12543738320</v>
      </c>
      <c r="L16" s="2">
        <f t="shared" si="1"/>
        <v>2630097761680</v>
      </c>
    </row>
    <row r="17" spans="1:12" ht="15.75" customHeight="1" x14ac:dyDescent="0.3">
      <c r="A17" s="1" t="s">
        <v>24</v>
      </c>
      <c r="B17" s="1" t="s">
        <v>31</v>
      </c>
      <c r="C17" s="1">
        <v>118.58</v>
      </c>
      <c r="D17" s="1">
        <v>2022</v>
      </c>
      <c r="E17" s="1">
        <f t="shared" ca="1" si="0"/>
        <v>0.61302352757100054</v>
      </c>
      <c r="F17" s="2">
        <v>68000</v>
      </c>
      <c r="G17" s="2">
        <f t="shared" si="2"/>
        <v>8063440000</v>
      </c>
      <c r="H17" s="4">
        <v>28</v>
      </c>
      <c r="I17" s="1">
        <v>18000</v>
      </c>
      <c r="J17" s="2">
        <f t="shared" si="3"/>
        <v>3320.24</v>
      </c>
      <c r="K17" s="2">
        <f t="shared" si="4"/>
        <v>59764319.999999993</v>
      </c>
      <c r="L17" s="2">
        <f t="shared" si="1"/>
        <v>8003675680</v>
      </c>
    </row>
    <row r="18" spans="1:12" ht="15.75" customHeight="1" x14ac:dyDescent="0.3">
      <c r="A18" s="1" t="s">
        <v>17</v>
      </c>
      <c r="B18" s="1" t="s">
        <v>32</v>
      </c>
      <c r="C18" s="1">
        <v>281.66000000000003</v>
      </c>
      <c r="D18" s="1">
        <v>2022</v>
      </c>
      <c r="E18" s="1">
        <f t="shared" ca="1" si="0"/>
        <v>0.10544641013847</v>
      </c>
      <c r="F18" s="2">
        <v>130000</v>
      </c>
      <c r="G18" s="2">
        <f t="shared" si="2"/>
        <v>36615800000</v>
      </c>
      <c r="H18" s="4">
        <v>37</v>
      </c>
      <c r="I18" s="1">
        <v>17000</v>
      </c>
      <c r="J18" s="2">
        <f t="shared" si="3"/>
        <v>10421.42</v>
      </c>
      <c r="K18" s="2">
        <f t="shared" si="4"/>
        <v>177164140</v>
      </c>
      <c r="L18" s="2">
        <f t="shared" si="1"/>
        <v>36438635860</v>
      </c>
    </row>
    <row r="19" spans="1:12" ht="15.75" customHeight="1" x14ac:dyDescent="0.3">
      <c r="A19" s="1" t="s">
        <v>15</v>
      </c>
      <c r="B19" s="1" t="s">
        <v>33</v>
      </c>
      <c r="C19" s="1">
        <v>2213.16</v>
      </c>
      <c r="D19" s="1">
        <v>2021</v>
      </c>
      <c r="E19" s="1">
        <f t="shared" ca="1" si="0"/>
        <v>0.5664314568812796</v>
      </c>
      <c r="F19" s="2">
        <v>34000</v>
      </c>
      <c r="G19" s="2">
        <f t="shared" si="2"/>
        <v>75247440000</v>
      </c>
      <c r="H19" s="4">
        <v>21</v>
      </c>
      <c r="I19" s="1">
        <v>9000</v>
      </c>
      <c r="J19" s="2">
        <f t="shared" si="3"/>
        <v>46476.36</v>
      </c>
      <c r="K19" s="2">
        <f t="shared" si="4"/>
        <v>418287240</v>
      </c>
      <c r="L19" s="2">
        <f t="shared" si="1"/>
        <v>74829152760</v>
      </c>
    </row>
    <row r="20" spans="1:12" ht="15.75" customHeight="1" x14ac:dyDescent="0.3">
      <c r="A20" s="1" t="s">
        <v>15</v>
      </c>
      <c r="B20" s="1" t="s">
        <v>34</v>
      </c>
      <c r="C20" s="1">
        <v>389413.95</v>
      </c>
      <c r="D20" s="1">
        <v>2022</v>
      </c>
      <c r="E20" s="1">
        <f t="shared" ca="1" si="0"/>
        <v>0.40239239136462224</v>
      </c>
      <c r="F20" s="2">
        <v>34000</v>
      </c>
      <c r="G20" s="2">
        <f t="shared" si="2"/>
        <v>13240074300000</v>
      </c>
      <c r="H20" s="4">
        <v>20</v>
      </c>
      <c r="I20" s="1">
        <v>9000</v>
      </c>
      <c r="J20" s="2">
        <f t="shared" si="3"/>
        <v>7788279</v>
      </c>
      <c r="K20" s="2">
        <f t="shared" si="4"/>
        <v>70094511000</v>
      </c>
      <c r="L20" s="2">
        <f t="shared" si="1"/>
        <v>13169979789000</v>
      </c>
    </row>
    <row r="21" spans="1:12" ht="15.75" customHeight="1" x14ac:dyDescent="0.3">
      <c r="A21" s="1" t="s">
        <v>15</v>
      </c>
      <c r="B21" s="1" t="s">
        <v>19</v>
      </c>
      <c r="C21" s="1">
        <v>176766.8</v>
      </c>
      <c r="D21" s="1">
        <v>2021</v>
      </c>
      <c r="E21" s="1">
        <f t="shared" ca="1" si="0"/>
        <v>0.39233854012617786</v>
      </c>
      <c r="F21" s="2">
        <v>34000</v>
      </c>
      <c r="G21" s="2">
        <f t="shared" si="2"/>
        <v>6010071200000</v>
      </c>
      <c r="H21" s="4">
        <v>21</v>
      </c>
      <c r="I21" s="1">
        <v>9000</v>
      </c>
      <c r="J21" s="2">
        <f t="shared" si="3"/>
        <v>3712102.8</v>
      </c>
      <c r="K21" s="2">
        <f t="shared" si="4"/>
        <v>33408925200</v>
      </c>
      <c r="L21" s="2">
        <f t="shared" si="1"/>
        <v>5976662274800</v>
      </c>
    </row>
    <row r="22" spans="1:12" ht="15.75" customHeight="1" x14ac:dyDescent="0.3">
      <c r="A22" s="1" t="s">
        <v>15</v>
      </c>
      <c r="B22" s="1" t="s">
        <v>35</v>
      </c>
      <c r="C22" s="1">
        <v>1265.25</v>
      </c>
      <c r="D22" s="1">
        <v>2021</v>
      </c>
      <c r="E22" s="1">
        <f t="shared" ca="1" si="0"/>
        <v>0.98668832727759825</v>
      </c>
      <c r="F22" s="2">
        <v>34000</v>
      </c>
      <c r="G22" s="2">
        <f t="shared" si="2"/>
        <v>43018500000</v>
      </c>
      <c r="H22" s="4">
        <v>21</v>
      </c>
      <c r="I22" s="1">
        <v>9000</v>
      </c>
      <c r="J22" s="2">
        <f t="shared" si="3"/>
        <v>26570.25</v>
      </c>
      <c r="K22" s="2">
        <f t="shared" si="4"/>
        <v>239132250</v>
      </c>
      <c r="L22" s="2">
        <f t="shared" si="1"/>
        <v>42779367750</v>
      </c>
    </row>
    <row r="23" spans="1:12" ht="15.75" customHeight="1" x14ac:dyDescent="0.3">
      <c r="A23" s="1" t="s">
        <v>15</v>
      </c>
      <c r="B23" s="1" t="s">
        <v>36</v>
      </c>
      <c r="C23" s="1">
        <v>235099.35</v>
      </c>
      <c r="D23" s="1">
        <v>2021</v>
      </c>
      <c r="E23" s="1">
        <f t="shared" ca="1" si="0"/>
        <v>0.51283486009269097</v>
      </c>
      <c r="F23" s="2">
        <v>34000</v>
      </c>
      <c r="G23" s="2">
        <f t="shared" si="2"/>
        <v>7993377900000</v>
      </c>
      <c r="H23" s="4">
        <v>21</v>
      </c>
      <c r="I23" s="1">
        <v>9000</v>
      </c>
      <c r="J23" s="2">
        <f t="shared" si="3"/>
        <v>4937086.3500000006</v>
      </c>
      <c r="K23" s="2">
        <f t="shared" si="4"/>
        <v>44433777150.000008</v>
      </c>
      <c r="L23" s="2">
        <f t="shared" si="1"/>
        <v>7948944122850</v>
      </c>
    </row>
    <row r="24" spans="1:12" ht="15.75" customHeight="1" x14ac:dyDescent="0.3">
      <c r="A24" s="1" t="s">
        <v>13</v>
      </c>
      <c r="B24" s="1" t="s">
        <v>33</v>
      </c>
      <c r="C24" s="1">
        <v>243.2</v>
      </c>
      <c r="D24" s="1">
        <v>2021</v>
      </c>
      <c r="E24" s="1">
        <f t="shared" ca="1" si="0"/>
        <v>0.79317056324719715</v>
      </c>
      <c r="F24" s="2">
        <v>50000</v>
      </c>
      <c r="G24" s="2">
        <f t="shared" si="2"/>
        <v>12160000000</v>
      </c>
      <c r="H24" s="4">
        <v>26</v>
      </c>
      <c r="I24" s="1">
        <v>9800</v>
      </c>
      <c r="J24" s="2">
        <f t="shared" si="3"/>
        <v>6323.2</v>
      </c>
      <c r="K24" s="2">
        <f t="shared" si="4"/>
        <v>61967360</v>
      </c>
      <c r="L24" s="2">
        <f t="shared" si="1"/>
        <v>12098032640</v>
      </c>
    </row>
    <row r="25" spans="1:12" ht="15.75" customHeight="1" x14ac:dyDescent="0.3">
      <c r="A25" s="1" t="s">
        <v>15</v>
      </c>
      <c r="B25" s="1" t="s">
        <v>37</v>
      </c>
      <c r="C25" s="1">
        <v>14848.88</v>
      </c>
      <c r="D25" s="1">
        <v>2020</v>
      </c>
      <c r="E25" s="1">
        <f t="shared" ca="1" si="0"/>
        <v>0.91769251944244479</v>
      </c>
      <c r="F25" s="2">
        <v>34000</v>
      </c>
      <c r="G25" s="2">
        <f t="shared" si="2"/>
        <v>504861920000</v>
      </c>
      <c r="H25" s="4">
        <v>25</v>
      </c>
      <c r="I25" s="1">
        <v>9000</v>
      </c>
      <c r="J25" s="2">
        <f t="shared" si="3"/>
        <v>371222</v>
      </c>
      <c r="K25" s="2">
        <f t="shared" si="4"/>
        <v>3340998000</v>
      </c>
      <c r="L25" s="2">
        <f t="shared" si="1"/>
        <v>501520922000</v>
      </c>
    </row>
    <row r="26" spans="1:12" ht="15.75" customHeight="1" x14ac:dyDescent="0.3">
      <c r="A26" s="1" t="s">
        <v>24</v>
      </c>
      <c r="B26" s="1" t="s">
        <v>36</v>
      </c>
      <c r="C26" s="1">
        <v>2317.4699999999998</v>
      </c>
      <c r="D26" s="1">
        <v>2021</v>
      </c>
      <c r="E26" s="1">
        <f t="shared" ca="1" si="0"/>
        <v>0.16286621244994226</v>
      </c>
      <c r="F26" s="2">
        <v>68000</v>
      </c>
      <c r="G26" s="2">
        <f t="shared" si="2"/>
        <v>157587960000</v>
      </c>
      <c r="H26" s="4">
        <v>33</v>
      </c>
      <c r="I26" s="1">
        <v>18000</v>
      </c>
      <c r="J26" s="2">
        <f t="shared" si="3"/>
        <v>76476.509999999995</v>
      </c>
      <c r="K26" s="2">
        <f t="shared" si="4"/>
        <v>1376577180</v>
      </c>
      <c r="L26" s="2">
        <f t="shared" si="1"/>
        <v>156211382820</v>
      </c>
    </row>
    <row r="27" spans="1:12" ht="15.75" customHeight="1" x14ac:dyDescent="0.3">
      <c r="A27" s="1" t="s">
        <v>13</v>
      </c>
      <c r="B27" s="1" t="s">
        <v>35</v>
      </c>
      <c r="C27" s="1">
        <v>1802.87</v>
      </c>
      <c r="D27" s="1">
        <v>2021</v>
      </c>
      <c r="E27" s="1">
        <f t="shared" ca="1" si="0"/>
        <v>0.19095838926957087</v>
      </c>
      <c r="F27" s="2">
        <v>50000</v>
      </c>
      <c r="G27" s="2">
        <f t="shared" si="2"/>
        <v>90143500000</v>
      </c>
      <c r="H27" s="4">
        <v>26</v>
      </c>
      <c r="I27" s="1">
        <v>9800</v>
      </c>
      <c r="J27" s="2">
        <f t="shared" si="3"/>
        <v>46874.619999999995</v>
      </c>
      <c r="K27" s="2">
        <f t="shared" si="4"/>
        <v>459371275.99999994</v>
      </c>
      <c r="L27" s="2">
        <f t="shared" si="1"/>
        <v>89684128724</v>
      </c>
    </row>
    <row r="28" spans="1:12" ht="15.75" customHeight="1" x14ac:dyDescent="0.3">
      <c r="A28" s="1" t="s">
        <v>13</v>
      </c>
      <c r="B28" s="1" t="s">
        <v>30</v>
      </c>
      <c r="C28" s="1">
        <v>136.18</v>
      </c>
      <c r="D28" s="1">
        <v>2021</v>
      </c>
      <c r="E28" s="1">
        <f t="shared" ca="1" si="0"/>
        <v>0.72057401040506119</v>
      </c>
      <c r="F28" s="2">
        <v>50000</v>
      </c>
      <c r="G28" s="2">
        <f t="shared" si="2"/>
        <v>6809000000</v>
      </c>
      <c r="H28" s="4">
        <v>26</v>
      </c>
      <c r="I28" s="1">
        <v>9800</v>
      </c>
      <c r="J28" s="2">
        <f t="shared" si="3"/>
        <v>3540.6800000000003</v>
      </c>
      <c r="K28" s="2">
        <f t="shared" si="4"/>
        <v>34698664</v>
      </c>
      <c r="L28" s="2">
        <f t="shared" si="1"/>
        <v>6774301336</v>
      </c>
    </row>
    <row r="29" spans="1:12" ht="15.75" customHeight="1" x14ac:dyDescent="0.3">
      <c r="A29" s="1" t="s">
        <v>17</v>
      </c>
      <c r="B29" s="1" t="s">
        <v>38</v>
      </c>
      <c r="C29" s="1">
        <v>230.28</v>
      </c>
      <c r="D29" s="1">
        <v>2020</v>
      </c>
      <c r="E29" s="1">
        <f t="shared" ca="1" si="0"/>
        <v>0.58683046717049481</v>
      </c>
      <c r="F29" s="2">
        <v>130000</v>
      </c>
      <c r="G29" s="2">
        <f t="shared" si="2"/>
        <v>29936400000</v>
      </c>
      <c r="H29" s="4">
        <v>35</v>
      </c>
      <c r="I29" s="1">
        <v>17000</v>
      </c>
      <c r="J29" s="2">
        <f t="shared" si="3"/>
        <v>8059.8</v>
      </c>
      <c r="K29" s="2">
        <f t="shared" si="4"/>
        <v>137016600</v>
      </c>
      <c r="L29" s="2">
        <f t="shared" si="1"/>
        <v>29799383400</v>
      </c>
    </row>
    <row r="30" spans="1:12" ht="15.75" customHeight="1" x14ac:dyDescent="0.3">
      <c r="A30" s="1" t="s">
        <v>13</v>
      </c>
      <c r="B30" s="1" t="s">
        <v>39</v>
      </c>
      <c r="C30" s="1">
        <v>1670.38</v>
      </c>
      <c r="D30" s="1">
        <v>2020</v>
      </c>
      <c r="E30" s="1">
        <f t="shared" ca="1" si="0"/>
        <v>6.4677164793669584E-2</v>
      </c>
      <c r="F30" s="2">
        <v>50000</v>
      </c>
      <c r="G30" s="2">
        <f t="shared" si="2"/>
        <v>83519000000</v>
      </c>
      <c r="H30" s="4">
        <v>27</v>
      </c>
      <c r="I30" s="1">
        <v>9800</v>
      </c>
      <c r="J30" s="2">
        <f t="shared" si="3"/>
        <v>45100.26</v>
      </c>
      <c r="K30" s="2">
        <f t="shared" si="4"/>
        <v>441982548</v>
      </c>
      <c r="L30" s="2">
        <f t="shared" si="1"/>
        <v>83077017452</v>
      </c>
    </row>
    <row r="31" spans="1:12" ht="15.75" customHeight="1" x14ac:dyDescent="0.3">
      <c r="A31" s="1" t="s">
        <v>20</v>
      </c>
      <c r="B31" s="1" t="s">
        <v>40</v>
      </c>
      <c r="C31" s="1">
        <v>8680.44</v>
      </c>
      <c r="D31" s="1">
        <v>2022</v>
      </c>
      <c r="E31" s="1">
        <f t="shared" ca="1" si="0"/>
        <v>0.74875779122248265</v>
      </c>
      <c r="F31" s="2">
        <v>150000</v>
      </c>
      <c r="G31" s="2">
        <f t="shared" si="2"/>
        <v>1302066000000</v>
      </c>
      <c r="H31" s="4">
        <v>40</v>
      </c>
      <c r="I31" s="1">
        <v>17800</v>
      </c>
      <c r="J31" s="2">
        <f t="shared" si="3"/>
        <v>347217.60000000003</v>
      </c>
      <c r="K31" s="2">
        <f t="shared" si="4"/>
        <v>6180473280.000001</v>
      </c>
      <c r="L31" s="2">
        <f t="shared" si="1"/>
        <v>1295885526720</v>
      </c>
    </row>
    <row r="32" spans="1:12" ht="15.75" customHeight="1" x14ac:dyDescent="0.3">
      <c r="A32" s="1" t="s">
        <v>24</v>
      </c>
      <c r="B32" s="1" t="s">
        <v>41</v>
      </c>
      <c r="C32" s="1">
        <v>15.58</v>
      </c>
      <c r="D32" s="1">
        <v>2021</v>
      </c>
      <c r="E32" s="1">
        <f t="shared" ca="1" si="0"/>
        <v>0.98561498271308912</v>
      </c>
      <c r="F32" s="2">
        <v>68000</v>
      </c>
      <c r="G32" s="2">
        <f t="shared" si="2"/>
        <v>1059440000</v>
      </c>
      <c r="H32" s="4">
        <v>33</v>
      </c>
      <c r="I32" s="1">
        <v>18000</v>
      </c>
      <c r="J32" s="2">
        <f t="shared" si="3"/>
        <v>514.14</v>
      </c>
      <c r="K32" s="2">
        <f t="shared" si="4"/>
        <v>9254520</v>
      </c>
      <c r="L32" s="2">
        <f t="shared" si="1"/>
        <v>1050185480</v>
      </c>
    </row>
    <row r="33" spans="1:12" ht="15.75" customHeight="1" x14ac:dyDescent="0.3">
      <c r="A33" s="1" t="s">
        <v>17</v>
      </c>
      <c r="B33" s="1" t="s">
        <v>40</v>
      </c>
      <c r="C33" s="1">
        <v>741.26</v>
      </c>
      <c r="D33" s="1">
        <v>2020</v>
      </c>
      <c r="E33" s="1">
        <f t="shared" ca="1" si="0"/>
        <v>3.5328838253362083E-2</v>
      </c>
      <c r="F33" s="2">
        <v>130000</v>
      </c>
      <c r="G33" s="2">
        <f t="shared" si="2"/>
        <v>96363800000</v>
      </c>
      <c r="H33" s="4">
        <v>35</v>
      </c>
      <c r="I33" s="1">
        <v>17000</v>
      </c>
      <c r="J33" s="2">
        <f t="shared" si="3"/>
        <v>25944.1</v>
      </c>
      <c r="K33" s="2">
        <f t="shared" si="4"/>
        <v>441049700</v>
      </c>
      <c r="L33" s="2">
        <f t="shared" si="1"/>
        <v>95922750300</v>
      </c>
    </row>
    <row r="34" spans="1:12" ht="15.75" customHeight="1" x14ac:dyDescent="0.3">
      <c r="A34" s="1" t="s">
        <v>17</v>
      </c>
      <c r="B34" s="1" t="s">
        <v>42</v>
      </c>
      <c r="C34" s="1">
        <v>412.48</v>
      </c>
      <c r="D34" s="1">
        <v>2022</v>
      </c>
      <c r="E34" s="1">
        <f t="shared" ca="1" si="0"/>
        <v>0.75971196294963395</v>
      </c>
      <c r="F34" s="2">
        <v>130000</v>
      </c>
      <c r="G34" s="2">
        <f t="shared" si="2"/>
        <v>53622400000</v>
      </c>
      <c r="H34" s="4">
        <v>37</v>
      </c>
      <c r="I34" s="1">
        <v>17000</v>
      </c>
      <c r="J34" s="2">
        <f t="shared" si="3"/>
        <v>15261.76</v>
      </c>
      <c r="K34" s="2">
        <f t="shared" si="4"/>
        <v>259449920</v>
      </c>
      <c r="L34" s="2">
        <f t="shared" si="1"/>
        <v>53362950080</v>
      </c>
    </row>
    <row r="35" spans="1:12" ht="15.75" customHeight="1" x14ac:dyDescent="0.3">
      <c r="A35" s="1" t="s">
        <v>24</v>
      </c>
      <c r="B35" s="1" t="s">
        <v>16</v>
      </c>
      <c r="C35" s="1">
        <v>0</v>
      </c>
      <c r="D35" s="1">
        <v>2022</v>
      </c>
      <c r="E35" s="1">
        <f t="shared" ca="1" si="0"/>
        <v>0.11170046581345827</v>
      </c>
      <c r="F35" s="2">
        <v>68000</v>
      </c>
      <c r="G35" s="2">
        <f t="shared" si="2"/>
        <v>0</v>
      </c>
      <c r="H35" s="4">
        <v>28</v>
      </c>
      <c r="I35" s="1">
        <v>18000</v>
      </c>
      <c r="J35" s="2">
        <f t="shared" si="3"/>
        <v>0</v>
      </c>
      <c r="K35" s="2">
        <f t="shared" si="4"/>
        <v>0</v>
      </c>
      <c r="L35" s="2">
        <f t="shared" si="1"/>
        <v>0</v>
      </c>
    </row>
    <row r="36" spans="1:12" ht="15.75" customHeight="1" x14ac:dyDescent="0.3">
      <c r="A36" s="1" t="s">
        <v>15</v>
      </c>
      <c r="B36" s="1" t="s">
        <v>32</v>
      </c>
      <c r="C36" s="1">
        <v>17822.64</v>
      </c>
      <c r="D36" s="1">
        <v>2021</v>
      </c>
      <c r="E36" s="1">
        <f t="shared" ca="1" si="0"/>
        <v>0.10823650592013545</v>
      </c>
      <c r="F36" s="2">
        <v>34000</v>
      </c>
      <c r="G36" s="2">
        <f t="shared" si="2"/>
        <v>605969760000</v>
      </c>
      <c r="H36" s="4">
        <v>21</v>
      </c>
      <c r="I36" s="1">
        <v>9000</v>
      </c>
      <c r="J36" s="2">
        <f t="shared" si="3"/>
        <v>374275.44</v>
      </c>
      <c r="K36" s="2">
        <f t="shared" si="4"/>
        <v>3368478960</v>
      </c>
      <c r="L36" s="2">
        <f t="shared" si="1"/>
        <v>602601281040</v>
      </c>
    </row>
    <row r="37" spans="1:12" ht="15.75" customHeight="1" x14ac:dyDescent="0.3">
      <c r="A37" s="1" t="s">
        <v>24</v>
      </c>
      <c r="B37" s="1" t="s">
        <v>43</v>
      </c>
      <c r="C37" s="1">
        <v>218.68</v>
      </c>
      <c r="D37" s="1">
        <v>2022</v>
      </c>
      <c r="E37" s="1">
        <f t="shared" ca="1" si="0"/>
        <v>0.87694216089953569</v>
      </c>
      <c r="F37" s="2">
        <v>68000</v>
      </c>
      <c r="G37" s="2">
        <f t="shared" si="2"/>
        <v>14870240000</v>
      </c>
      <c r="H37" s="4">
        <v>28</v>
      </c>
      <c r="I37" s="1">
        <v>18000</v>
      </c>
      <c r="J37" s="2">
        <f t="shared" si="3"/>
        <v>6123.04</v>
      </c>
      <c r="K37" s="2">
        <f t="shared" si="4"/>
        <v>110214720</v>
      </c>
      <c r="L37" s="2">
        <f t="shared" si="1"/>
        <v>14760025280</v>
      </c>
    </row>
    <row r="38" spans="1:12" ht="15.75" customHeight="1" x14ac:dyDescent="0.3">
      <c r="A38" s="1" t="s">
        <v>13</v>
      </c>
      <c r="B38" s="1" t="s">
        <v>31</v>
      </c>
      <c r="C38" s="1">
        <v>4573.03</v>
      </c>
      <c r="D38" s="1">
        <v>2020</v>
      </c>
      <c r="E38" s="1">
        <f t="shared" ca="1" si="0"/>
        <v>0.86203079021229823</v>
      </c>
      <c r="F38" s="2">
        <v>50000</v>
      </c>
      <c r="G38" s="2">
        <f t="shared" si="2"/>
        <v>228651500000</v>
      </c>
      <c r="H38" s="4">
        <v>27</v>
      </c>
      <c r="I38" s="1">
        <v>9800</v>
      </c>
      <c r="J38" s="2">
        <f t="shared" si="3"/>
        <v>123471.81</v>
      </c>
      <c r="K38" s="2">
        <f t="shared" si="4"/>
        <v>1210023738</v>
      </c>
      <c r="L38" s="2">
        <f t="shared" si="1"/>
        <v>227441476262</v>
      </c>
    </row>
    <row r="39" spans="1:12" ht="15.75" customHeight="1" x14ac:dyDescent="0.3">
      <c r="A39" s="1" t="s">
        <v>13</v>
      </c>
      <c r="B39" s="1" t="s">
        <v>16</v>
      </c>
      <c r="C39" s="1">
        <v>567.23</v>
      </c>
      <c r="D39" s="1">
        <v>2022</v>
      </c>
      <c r="E39" s="1">
        <f t="shared" ca="1" si="0"/>
        <v>0.40616375750218836</v>
      </c>
      <c r="F39" s="2">
        <v>50000</v>
      </c>
      <c r="G39" s="2">
        <f t="shared" si="2"/>
        <v>28361500000</v>
      </c>
      <c r="H39" s="4">
        <v>29</v>
      </c>
      <c r="I39" s="1">
        <v>9800</v>
      </c>
      <c r="J39" s="2">
        <f t="shared" si="3"/>
        <v>16449.670000000002</v>
      </c>
      <c r="K39" s="2">
        <f t="shared" si="4"/>
        <v>161206766.00000003</v>
      </c>
      <c r="L39" s="2">
        <f t="shared" si="1"/>
        <v>28200293234</v>
      </c>
    </row>
    <row r="40" spans="1:12" ht="15.75" customHeight="1" x14ac:dyDescent="0.3">
      <c r="A40" s="1" t="s">
        <v>20</v>
      </c>
      <c r="B40" s="1" t="s">
        <v>37</v>
      </c>
      <c r="C40" s="1">
        <v>2430.88</v>
      </c>
      <c r="D40" s="1">
        <v>2021</v>
      </c>
      <c r="E40" s="1">
        <f t="shared" ca="1" si="0"/>
        <v>0.32971809376079508</v>
      </c>
      <c r="F40" s="2">
        <v>150000</v>
      </c>
      <c r="G40" s="2">
        <f t="shared" si="2"/>
        <v>364632000000</v>
      </c>
      <c r="H40" s="4">
        <v>39</v>
      </c>
      <c r="I40" s="1">
        <v>17800</v>
      </c>
      <c r="J40" s="2">
        <f t="shared" si="3"/>
        <v>94804.32</v>
      </c>
      <c r="K40" s="2">
        <f t="shared" si="4"/>
        <v>1687516896.0000002</v>
      </c>
      <c r="L40" s="2">
        <f t="shared" si="1"/>
        <v>362944483104</v>
      </c>
    </row>
    <row r="41" spans="1:12" ht="15.75" customHeight="1" x14ac:dyDescent="0.3">
      <c r="A41" s="1" t="s">
        <v>20</v>
      </c>
      <c r="B41" s="1" t="s">
        <v>16</v>
      </c>
      <c r="C41" s="1">
        <v>2487.34</v>
      </c>
      <c r="D41" s="1">
        <v>2020</v>
      </c>
      <c r="E41" s="1">
        <f t="shared" ca="1" si="0"/>
        <v>0.69830711444943461</v>
      </c>
      <c r="F41" s="2">
        <v>150000</v>
      </c>
      <c r="G41" s="2">
        <f t="shared" si="2"/>
        <v>373101000000</v>
      </c>
      <c r="H41" s="4">
        <v>38</v>
      </c>
      <c r="I41" s="1">
        <v>17800</v>
      </c>
      <c r="J41" s="2">
        <f t="shared" si="3"/>
        <v>94518.920000000013</v>
      </c>
      <c r="K41" s="2">
        <f t="shared" si="4"/>
        <v>1682436776.0000002</v>
      </c>
      <c r="L41" s="2">
        <f t="shared" si="1"/>
        <v>371418563224</v>
      </c>
    </row>
    <row r="42" spans="1:12" ht="15.75" customHeight="1" x14ac:dyDescent="0.3">
      <c r="A42" s="1" t="s">
        <v>20</v>
      </c>
      <c r="B42" s="1" t="s">
        <v>40</v>
      </c>
      <c r="C42" s="1">
        <v>7350.55</v>
      </c>
      <c r="D42" s="1">
        <v>2020</v>
      </c>
      <c r="E42" s="1">
        <f t="shared" ca="1" si="0"/>
        <v>0.90658535700184151</v>
      </c>
      <c r="F42" s="2">
        <v>150000</v>
      </c>
      <c r="G42" s="2">
        <f t="shared" si="2"/>
        <v>1102582500000</v>
      </c>
      <c r="H42" s="4">
        <v>38</v>
      </c>
      <c r="I42" s="1">
        <v>17800</v>
      </c>
      <c r="J42" s="2">
        <f t="shared" si="3"/>
        <v>279320.90000000002</v>
      </c>
      <c r="K42" s="2">
        <f t="shared" si="4"/>
        <v>4971912020</v>
      </c>
      <c r="L42" s="2">
        <f t="shared" si="1"/>
        <v>1097610587980</v>
      </c>
    </row>
    <row r="43" spans="1:12" ht="15.75" customHeight="1" x14ac:dyDescent="0.3">
      <c r="A43" s="1" t="s">
        <v>13</v>
      </c>
      <c r="B43" s="1" t="s">
        <v>42</v>
      </c>
      <c r="C43" s="1">
        <v>5911.27</v>
      </c>
      <c r="D43" s="1">
        <v>2020</v>
      </c>
      <c r="E43" s="1">
        <f t="shared" ca="1" si="0"/>
        <v>0.80441072003489011</v>
      </c>
      <c r="F43" s="2">
        <v>50000</v>
      </c>
      <c r="G43" s="2">
        <f t="shared" si="2"/>
        <v>295563500000</v>
      </c>
      <c r="H43" s="4">
        <v>27</v>
      </c>
      <c r="I43" s="1">
        <v>9800</v>
      </c>
      <c r="J43" s="2">
        <f t="shared" si="3"/>
        <v>159604.29</v>
      </c>
      <c r="K43" s="2">
        <f t="shared" si="4"/>
        <v>1564122042</v>
      </c>
      <c r="L43" s="2">
        <f t="shared" si="1"/>
        <v>293999377958</v>
      </c>
    </row>
    <row r="44" spans="1:12" ht="15.75" customHeight="1" x14ac:dyDescent="0.3">
      <c r="A44" s="1" t="s">
        <v>20</v>
      </c>
      <c r="B44" s="1" t="s">
        <v>16</v>
      </c>
      <c r="C44" s="1">
        <v>2918.75</v>
      </c>
      <c r="D44" s="1">
        <v>2022</v>
      </c>
      <c r="E44" s="1">
        <f t="shared" ca="1" si="0"/>
        <v>0.2701579308331421</v>
      </c>
      <c r="F44" s="2">
        <v>150000</v>
      </c>
      <c r="G44" s="2">
        <f t="shared" si="2"/>
        <v>437812500000</v>
      </c>
      <c r="H44" s="4">
        <v>40</v>
      </c>
      <c r="I44" s="1">
        <v>17800</v>
      </c>
      <c r="J44" s="2">
        <f t="shared" si="3"/>
        <v>116750</v>
      </c>
      <c r="K44" s="2">
        <f t="shared" si="4"/>
        <v>2078150000</v>
      </c>
      <c r="L44" s="2">
        <f t="shared" si="1"/>
        <v>435734350000</v>
      </c>
    </row>
    <row r="45" spans="1:12" ht="15.75" customHeight="1" x14ac:dyDescent="0.3">
      <c r="A45" s="1" t="s">
        <v>15</v>
      </c>
      <c r="B45" s="1" t="s">
        <v>37</v>
      </c>
      <c r="C45" s="1">
        <v>13987.82</v>
      </c>
      <c r="D45" s="1">
        <v>2021</v>
      </c>
      <c r="E45" s="1">
        <f t="shared" ca="1" si="0"/>
        <v>0.47298291132644832</v>
      </c>
      <c r="F45" s="2">
        <v>34000</v>
      </c>
      <c r="G45" s="2">
        <f t="shared" si="2"/>
        <v>475585880000</v>
      </c>
      <c r="H45" s="4">
        <v>21</v>
      </c>
      <c r="I45" s="1">
        <v>9000</v>
      </c>
      <c r="J45" s="2">
        <f t="shared" si="3"/>
        <v>293744.21999999997</v>
      </c>
      <c r="K45" s="2">
        <f t="shared" si="4"/>
        <v>2643697979.9999995</v>
      </c>
      <c r="L45" s="2">
        <f t="shared" si="1"/>
        <v>472942182020</v>
      </c>
    </row>
    <row r="46" spans="1:12" ht="15.75" customHeight="1" x14ac:dyDescent="0.3">
      <c r="A46" s="1" t="s">
        <v>24</v>
      </c>
      <c r="B46" s="1" t="s">
        <v>40</v>
      </c>
      <c r="C46" s="1">
        <v>79.77</v>
      </c>
      <c r="D46" s="1">
        <v>2022</v>
      </c>
      <c r="E46" s="1">
        <f t="shared" ca="1" si="0"/>
        <v>0.42257640301966215</v>
      </c>
      <c r="F46" s="2">
        <v>68000</v>
      </c>
      <c r="G46" s="2">
        <f t="shared" si="2"/>
        <v>5424360000</v>
      </c>
      <c r="H46" s="4">
        <v>28</v>
      </c>
      <c r="I46" s="1">
        <v>18000</v>
      </c>
      <c r="J46" s="2">
        <f t="shared" si="3"/>
        <v>2233.56</v>
      </c>
      <c r="K46" s="2">
        <f t="shared" si="4"/>
        <v>40204080</v>
      </c>
      <c r="L46" s="2">
        <f t="shared" si="1"/>
        <v>5384155920</v>
      </c>
    </row>
    <row r="47" spans="1:12" ht="15.75" customHeight="1" x14ac:dyDescent="0.3">
      <c r="A47" s="1" t="s">
        <v>17</v>
      </c>
      <c r="B47" s="1" t="s">
        <v>19</v>
      </c>
      <c r="C47" s="1">
        <v>874.84</v>
      </c>
      <c r="D47" s="1">
        <v>2021</v>
      </c>
      <c r="E47" s="1">
        <f t="shared" ca="1" si="0"/>
        <v>3.5249228936213628E-2</v>
      </c>
      <c r="F47" s="2">
        <v>130000</v>
      </c>
      <c r="G47" s="2">
        <f t="shared" si="2"/>
        <v>113729200000</v>
      </c>
      <c r="H47" s="4">
        <v>32</v>
      </c>
      <c r="I47" s="1">
        <v>17000</v>
      </c>
      <c r="J47" s="2">
        <f t="shared" si="3"/>
        <v>27994.880000000001</v>
      </c>
      <c r="K47" s="2">
        <f t="shared" si="4"/>
        <v>475912960</v>
      </c>
      <c r="L47" s="2">
        <f t="shared" si="1"/>
        <v>113253287040</v>
      </c>
    </row>
    <row r="48" spans="1:12" ht="15.75" customHeight="1" x14ac:dyDescent="0.3">
      <c r="A48" s="1" t="s">
        <v>17</v>
      </c>
      <c r="B48" s="1" t="s">
        <v>44</v>
      </c>
      <c r="C48" s="1">
        <v>154.58000000000001</v>
      </c>
      <c r="D48" s="1">
        <v>2020</v>
      </c>
      <c r="E48" s="1">
        <f t="shared" ca="1" si="0"/>
        <v>7.3352734608045367E-3</v>
      </c>
      <c r="F48" s="2">
        <v>130000</v>
      </c>
      <c r="G48" s="2">
        <f t="shared" si="2"/>
        <v>20095400000</v>
      </c>
      <c r="H48" s="4">
        <v>35</v>
      </c>
      <c r="I48" s="1">
        <v>17000</v>
      </c>
      <c r="J48" s="2">
        <f t="shared" si="3"/>
        <v>5410.3</v>
      </c>
      <c r="K48" s="2">
        <f t="shared" si="4"/>
        <v>91975100</v>
      </c>
      <c r="L48" s="2">
        <f t="shared" si="1"/>
        <v>20003424900</v>
      </c>
    </row>
    <row r="49" spans="1:12" ht="15.75" customHeight="1" x14ac:dyDescent="0.3">
      <c r="A49" s="1" t="s">
        <v>13</v>
      </c>
      <c r="B49" s="1" t="s">
        <v>38</v>
      </c>
      <c r="C49" s="1">
        <v>1749.4</v>
      </c>
      <c r="D49" s="1">
        <v>2021</v>
      </c>
      <c r="E49" s="1">
        <f t="shared" ca="1" si="0"/>
        <v>0.88686943658997452</v>
      </c>
      <c r="F49" s="2">
        <v>50000</v>
      </c>
      <c r="G49" s="2">
        <f t="shared" si="2"/>
        <v>87470000000</v>
      </c>
      <c r="H49" s="4">
        <v>26</v>
      </c>
      <c r="I49" s="1">
        <v>9800</v>
      </c>
      <c r="J49" s="2">
        <f t="shared" si="3"/>
        <v>45484.4</v>
      </c>
      <c r="K49" s="2">
        <f t="shared" si="4"/>
        <v>445747120</v>
      </c>
      <c r="L49" s="2">
        <f t="shared" si="1"/>
        <v>87024252880</v>
      </c>
    </row>
    <row r="50" spans="1:12" ht="15.75" customHeight="1" x14ac:dyDescent="0.3">
      <c r="A50" s="1" t="s">
        <v>24</v>
      </c>
      <c r="B50" s="1" t="s">
        <v>18</v>
      </c>
      <c r="C50" s="1">
        <v>5.18</v>
      </c>
      <c r="D50" s="1">
        <v>2020</v>
      </c>
      <c r="E50" s="1">
        <f t="shared" ca="1" si="0"/>
        <v>0.2721287968289251</v>
      </c>
      <c r="F50" s="2">
        <v>68000</v>
      </c>
      <c r="G50" s="2">
        <f t="shared" si="2"/>
        <v>352240000</v>
      </c>
      <c r="H50" s="4">
        <v>31</v>
      </c>
      <c r="I50" s="1">
        <v>18000</v>
      </c>
      <c r="J50" s="2">
        <f t="shared" si="3"/>
        <v>160.57999999999998</v>
      </c>
      <c r="K50" s="2">
        <f t="shared" si="4"/>
        <v>2890439.9999999995</v>
      </c>
      <c r="L50" s="2">
        <f t="shared" si="1"/>
        <v>349349560</v>
      </c>
    </row>
    <row r="51" spans="1:12" ht="15.75" customHeight="1" x14ac:dyDescent="0.3">
      <c r="A51" s="1" t="s">
        <v>15</v>
      </c>
      <c r="B51" s="1" t="s">
        <v>21</v>
      </c>
      <c r="C51" s="1">
        <v>827711.57</v>
      </c>
      <c r="D51" s="1">
        <v>2022</v>
      </c>
      <c r="E51" s="1">
        <f t="shared" ca="1" si="0"/>
        <v>0.90630415478709581</v>
      </c>
      <c r="F51" s="2">
        <v>34000</v>
      </c>
      <c r="G51" s="2">
        <f t="shared" si="2"/>
        <v>28142193380000</v>
      </c>
      <c r="H51" s="4">
        <v>20</v>
      </c>
      <c r="I51" s="1">
        <v>9000</v>
      </c>
      <c r="J51" s="2">
        <f t="shared" si="3"/>
        <v>16554231.399999999</v>
      </c>
      <c r="K51" s="2">
        <f t="shared" si="4"/>
        <v>148988082600</v>
      </c>
      <c r="L51" s="2">
        <f t="shared" si="1"/>
        <v>27993205297400</v>
      </c>
    </row>
    <row r="52" spans="1:12" ht="15.75" customHeight="1" x14ac:dyDescent="0.3">
      <c r="A52" s="1" t="s">
        <v>13</v>
      </c>
      <c r="B52" s="1" t="s">
        <v>23</v>
      </c>
      <c r="C52" s="1">
        <v>68098.149999999994</v>
      </c>
      <c r="D52" s="1">
        <v>2021</v>
      </c>
      <c r="E52" s="1">
        <f t="shared" ca="1" si="0"/>
        <v>8.7905161473661786E-2</v>
      </c>
      <c r="F52" s="2">
        <v>50000</v>
      </c>
      <c r="G52" s="2">
        <f t="shared" si="2"/>
        <v>3404907500000</v>
      </c>
      <c r="H52" s="4">
        <v>26</v>
      </c>
      <c r="I52" s="1">
        <v>9800</v>
      </c>
      <c r="J52" s="2">
        <f t="shared" si="3"/>
        <v>1770551.9</v>
      </c>
      <c r="K52" s="2">
        <f t="shared" si="4"/>
        <v>17351408620</v>
      </c>
      <c r="L52" s="2">
        <f t="shared" si="1"/>
        <v>3387556091380</v>
      </c>
    </row>
    <row r="53" spans="1:12" ht="15.75" customHeight="1" x14ac:dyDescent="0.3">
      <c r="A53" s="1" t="s">
        <v>15</v>
      </c>
      <c r="B53" s="1" t="s">
        <v>38</v>
      </c>
      <c r="C53" s="1">
        <v>7338.04</v>
      </c>
      <c r="D53" s="1">
        <v>2020</v>
      </c>
      <c r="E53" s="1">
        <f t="shared" ca="1" si="0"/>
        <v>0.73736585557008294</v>
      </c>
      <c r="F53" s="2">
        <v>34000</v>
      </c>
      <c r="G53" s="2">
        <f t="shared" si="2"/>
        <v>249493360000</v>
      </c>
      <c r="H53" s="4">
        <v>25</v>
      </c>
      <c r="I53" s="1">
        <v>9000</v>
      </c>
      <c r="J53" s="2">
        <f t="shared" si="3"/>
        <v>183451</v>
      </c>
      <c r="K53" s="2">
        <f t="shared" si="4"/>
        <v>1651059000</v>
      </c>
      <c r="L53" s="2">
        <f t="shared" si="1"/>
        <v>247842301000</v>
      </c>
    </row>
    <row r="54" spans="1:12" ht="15.75" customHeight="1" x14ac:dyDescent="0.3">
      <c r="A54" s="1" t="s">
        <v>20</v>
      </c>
      <c r="B54" s="1" t="s">
        <v>19</v>
      </c>
      <c r="C54" s="1">
        <v>15366.14</v>
      </c>
      <c r="D54" s="1">
        <v>2021</v>
      </c>
      <c r="E54" s="1">
        <f t="shared" ca="1" si="0"/>
        <v>0.76524250523396131</v>
      </c>
      <c r="F54" s="2">
        <v>150000</v>
      </c>
      <c r="G54" s="2">
        <f t="shared" si="2"/>
        <v>2304921000000</v>
      </c>
      <c r="H54" s="4">
        <v>39</v>
      </c>
      <c r="I54" s="1">
        <v>17800</v>
      </c>
      <c r="J54" s="2">
        <f t="shared" si="3"/>
        <v>599279.46</v>
      </c>
      <c r="K54" s="2">
        <f t="shared" si="4"/>
        <v>10667174388</v>
      </c>
      <c r="L54" s="2">
        <f t="shared" si="1"/>
        <v>2294253825612</v>
      </c>
    </row>
    <row r="55" spans="1:12" ht="15.75" customHeight="1" x14ac:dyDescent="0.3">
      <c r="A55" s="1" t="s">
        <v>17</v>
      </c>
      <c r="B55" s="1" t="s">
        <v>18</v>
      </c>
      <c r="C55" s="1">
        <v>118.45</v>
      </c>
      <c r="D55" s="1">
        <v>2020</v>
      </c>
      <c r="E55" s="1">
        <f t="shared" ca="1" si="0"/>
        <v>0.45838616306031188</v>
      </c>
      <c r="F55" s="2">
        <v>130000</v>
      </c>
      <c r="G55" s="2">
        <f t="shared" si="2"/>
        <v>15398500000</v>
      </c>
      <c r="H55" s="4">
        <v>35</v>
      </c>
      <c r="I55" s="1">
        <v>17000</v>
      </c>
      <c r="J55" s="2">
        <f t="shared" si="3"/>
        <v>4145.75</v>
      </c>
      <c r="K55" s="2">
        <f t="shared" si="4"/>
        <v>70477750</v>
      </c>
      <c r="L55" s="2">
        <f t="shared" si="1"/>
        <v>15328022250</v>
      </c>
    </row>
    <row r="56" spans="1:12" ht="15.75" customHeight="1" x14ac:dyDescent="0.3">
      <c r="A56" s="1" t="s">
        <v>15</v>
      </c>
      <c r="B56" s="1" t="s">
        <v>42</v>
      </c>
      <c r="C56" s="1">
        <v>45991.24</v>
      </c>
      <c r="D56" s="1">
        <v>2021</v>
      </c>
      <c r="E56" s="1">
        <f t="shared" ca="1" si="0"/>
        <v>4.9054356571780477E-3</v>
      </c>
      <c r="F56" s="2">
        <v>34000</v>
      </c>
      <c r="G56" s="2">
        <f t="shared" si="2"/>
        <v>1563702160000</v>
      </c>
      <c r="H56" s="4">
        <v>21</v>
      </c>
      <c r="I56" s="1">
        <v>9000</v>
      </c>
      <c r="J56" s="2">
        <f t="shared" si="3"/>
        <v>965816.03999999992</v>
      </c>
      <c r="K56" s="2">
        <f t="shared" si="4"/>
        <v>8692344360</v>
      </c>
      <c r="L56" s="2">
        <f t="shared" si="1"/>
        <v>1555009815640</v>
      </c>
    </row>
    <row r="57" spans="1:12" ht="15.75" customHeight="1" x14ac:dyDescent="0.3">
      <c r="A57" s="1" t="s">
        <v>20</v>
      </c>
      <c r="B57" s="1" t="s">
        <v>18</v>
      </c>
      <c r="C57" s="1">
        <v>4348.01</v>
      </c>
      <c r="D57" s="1">
        <v>2021</v>
      </c>
      <c r="E57" s="1">
        <f t="shared" ca="1" si="0"/>
        <v>0.5830507205127955</v>
      </c>
      <c r="F57" s="2">
        <v>150000</v>
      </c>
      <c r="G57" s="2">
        <f t="shared" si="2"/>
        <v>652201500000</v>
      </c>
      <c r="H57" s="4">
        <v>39</v>
      </c>
      <c r="I57" s="1">
        <v>17800</v>
      </c>
      <c r="J57" s="2">
        <f t="shared" si="3"/>
        <v>169572.39</v>
      </c>
      <c r="K57" s="2">
        <f t="shared" si="4"/>
        <v>3018388542.0000005</v>
      </c>
      <c r="L57" s="2">
        <f t="shared" si="1"/>
        <v>649183111458</v>
      </c>
    </row>
    <row r="58" spans="1:12" ht="15.75" customHeight="1" x14ac:dyDescent="0.3">
      <c r="A58" s="1" t="s">
        <v>20</v>
      </c>
      <c r="B58" s="1" t="s">
        <v>45</v>
      </c>
      <c r="C58" s="1">
        <v>1740.88</v>
      </c>
      <c r="D58" s="1">
        <v>2020</v>
      </c>
      <c r="E58" s="1">
        <f t="shared" ca="1" si="0"/>
        <v>0.35739788114774174</v>
      </c>
      <c r="F58" s="2">
        <v>150000</v>
      </c>
      <c r="G58" s="2">
        <f t="shared" si="2"/>
        <v>261132000000</v>
      </c>
      <c r="H58" s="4">
        <v>38</v>
      </c>
      <c r="I58" s="1">
        <v>17800</v>
      </c>
      <c r="J58" s="2">
        <f t="shared" si="3"/>
        <v>66153.440000000002</v>
      </c>
      <c r="K58" s="2">
        <f t="shared" si="4"/>
        <v>1177531232</v>
      </c>
      <c r="L58" s="2">
        <f t="shared" si="1"/>
        <v>259954468768</v>
      </c>
    </row>
    <row r="59" spans="1:12" ht="15.75" customHeight="1" x14ac:dyDescent="0.3">
      <c r="A59" s="1" t="s">
        <v>20</v>
      </c>
      <c r="B59" s="1" t="s">
        <v>21</v>
      </c>
      <c r="C59" s="1">
        <v>65150.77</v>
      </c>
      <c r="D59" s="1">
        <v>2021</v>
      </c>
      <c r="E59" s="1">
        <f t="shared" ca="1" si="0"/>
        <v>0.58213831675567895</v>
      </c>
      <c r="F59" s="2">
        <v>150000</v>
      </c>
      <c r="G59" s="2">
        <f t="shared" si="2"/>
        <v>9772615500000</v>
      </c>
      <c r="H59" s="4">
        <v>39</v>
      </c>
      <c r="I59" s="1">
        <v>17800</v>
      </c>
      <c r="J59" s="2">
        <f t="shared" si="3"/>
        <v>2540880.0299999998</v>
      </c>
      <c r="K59" s="2">
        <f t="shared" si="4"/>
        <v>45227664534</v>
      </c>
      <c r="L59" s="2">
        <f t="shared" si="1"/>
        <v>9727387835466</v>
      </c>
    </row>
    <row r="60" spans="1:12" ht="15.75" customHeight="1" x14ac:dyDescent="0.3">
      <c r="A60" s="1" t="s">
        <v>20</v>
      </c>
      <c r="B60" s="1" t="s">
        <v>26</v>
      </c>
      <c r="C60" s="1">
        <v>13859.09</v>
      </c>
      <c r="D60" s="1">
        <v>2022</v>
      </c>
      <c r="E60" s="1">
        <f t="shared" ca="1" si="0"/>
        <v>0.92257142934685232</v>
      </c>
      <c r="F60" s="2">
        <v>150000</v>
      </c>
      <c r="G60" s="2">
        <f t="shared" si="2"/>
        <v>2078863500000</v>
      </c>
      <c r="H60" s="4">
        <v>40</v>
      </c>
      <c r="I60" s="1">
        <v>17800</v>
      </c>
      <c r="J60" s="2">
        <f t="shared" si="3"/>
        <v>554363.6</v>
      </c>
      <c r="K60" s="2">
        <f t="shared" si="4"/>
        <v>9867672080</v>
      </c>
      <c r="L60" s="2">
        <f t="shared" si="1"/>
        <v>2068995827920</v>
      </c>
    </row>
    <row r="61" spans="1:12" ht="15.75" customHeight="1" x14ac:dyDescent="0.3">
      <c r="A61" s="1" t="s">
        <v>17</v>
      </c>
      <c r="B61" s="1" t="s">
        <v>46</v>
      </c>
      <c r="C61" s="1">
        <v>369.23</v>
      </c>
      <c r="D61" s="1">
        <v>2022</v>
      </c>
      <c r="E61" s="1">
        <f t="shared" ca="1" si="0"/>
        <v>0.48546611794115291</v>
      </c>
      <c r="F61" s="2">
        <v>130000</v>
      </c>
      <c r="G61" s="2">
        <f t="shared" si="2"/>
        <v>47999900000</v>
      </c>
      <c r="H61" s="4">
        <v>37</v>
      </c>
      <c r="I61" s="1">
        <v>17000</v>
      </c>
      <c r="J61" s="2">
        <f t="shared" si="3"/>
        <v>13661.51</v>
      </c>
      <c r="K61" s="2">
        <f t="shared" si="4"/>
        <v>232245670</v>
      </c>
      <c r="L61" s="2">
        <f t="shared" si="1"/>
        <v>47767654330</v>
      </c>
    </row>
    <row r="62" spans="1:12" ht="15.75" customHeight="1" x14ac:dyDescent="0.3">
      <c r="A62" s="1" t="s">
        <v>15</v>
      </c>
      <c r="B62" s="1" t="s">
        <v>31</v>
      </c>
      <c r="C62" s="1">
        <v>30341.74</v>
      </c>
      <c r="D62" s="1">
        <v>2020</v>
      </c>
      <c r="E62" s="1">
        <f t="shared" ca="1" si="0"/>
        <v>0.84020802944968431</v>
      </c>
      <c r="F62" s="2">
        <v>34000</v>
      </c>
      <c r="G62" s="2">
        <f t="shared" si="2"/>
        <v>1031619160000</v>
      </c>
      <c r="H62" s="4">
        <v>25</v>
      </c>
      <c r="I62" s="1">
        <v>9000</v>
      </c>
      <c r="J62" s="2">
        <f t="shared" si="3"/>
        <v>758543.5</v>
      </c>
      <c r="K62" s="2">
        <f t="shared" si="4"/>
        <v>6826891500</v>
      </c>
      <c r="L62" s="2">
        <f t="shared" si="1"/>
        <v>1024792268500</v>
      </c>
    </row>
    <row r="63" spans="1:12" ht="15.75" customHeight="1" x14ac:dyDescent="0.3">
      <c r="A63" s="1" t="s">
        <v>15</v>
      </c>
      <c r="B63" s="1" t="s">
        <v>18</v>
      </c>
      <c r="C63" s="1">
        <v>6739.02</v>
      </c>
      <c r="D63" s="1">
        <v>2020</v>
      </c>
      <c r="E63" s="1">
        <f t="shared" ca="1" si="0"/>
        <v>0.56083943508562506</v>
      </c>
      <c r="F63" s="2">
        <v>34000</v>
      </c>
      <c r="G63" s="2">
        <f t="shared" si="2"/>
        <v>229126680000</v>
      </c>
      <c r="H63" s="4">
        <v>25</v>
      </c>
      <c r="I63" s="1">
        <v>9000</v>
      </c>
      <c r="J63" s="2">
        <f t="shared" si="3"/>
        <v>168475.5</v>
      </c>
      <c r="K63" s="2">
        <f t="shared" si="4"/>
        <v>1516279500</v>
      </c>
      <c r="L63" s="2">
        <f t="shared" si="1"/>
        <v>227610400500</v>
      </c>
    </row>
    <row r="64" spans="1:12" ht="15.75" customHeight="1" x14ac:dyDescent="0.3">
      <c r="A64" s="1" t="s">
        <v>15</v>
      </c>
      <c r="B64" s="1" t="s">
        <v>30</v>
      </c>
      <c r="C64" s="1">
        <v>0</v>
      </c>
      <c r="D64" s="1">
        <v>2022</v>
      </c>
      <c r="E64" s="1">
        <f t="shared" ca="1" si="0"/>
        <v>0.15361680237598718</v>
      </c>
      <c r="F64" s="2">
        <v>34000</v>
      </c>
      <c r="G64" s="2">
        <f t="shared" si="2"/>
        <v>0</v>
      </c>
      <c r="H64" s="4">
        <v>20</v>
      </c>
      <c r="I64" s="1">
        <v>9000</v>
      </c>
      <c r="J64" s="2">
        <f t="shared" si="3"/>
        <v>0</v>
      </c>
      <c r="K64" s="2">
        <f t="shared" si="4"/>
        <v>0</v>
      </c>
      <c r="L64" s="2">
        <f t="shared" si="1"/>
        <v>0</v>
      </c>
    </row>
    <row r="65" spans="1:12" ht="15.75" customHeight="1" x14ac:dyDescent="0.3">
      <c r="A65" s="1" t="s">
        <v>17</v>
      </c>
      <c r="B65" s="1" t="s">
        <v>40</v>
      </c>
      <c r="C65" s="1">
        <v>965.11</v>
      </c>
      <c r="D65" s="1">
        <v>2022</v>
      </c>
      <c r="E65" s="1">
        <f t="shared" ca="1" si="0"/>
        <v>0.58494787751529909</v>
      </c>
      <c r="F65" s="2">
        <v>130000</v>
      </c>
      <c r="G65" s="2">
        <f t="shared" si="2"/>
        <v>125464300000</v>
      </c>
      <c r="H65" s="4">
        <v>37</v>
      </c>
      <c r="I65" s="1">
        <v>17000</v>
      </c>
      <c r="J65" s="2">
        <f t="shared" si="3"/>
        <v>35709.07</v>
      </c>
      <c r="K65" s="2">
        <f t="shared" si="4"/>
        <v>607054190</v>
      </c>
      <c r="L65" s="2">
        <f t="shared" si="1"/>
        <v>124857245810</v>
      </c>
    </row>
    <row r="66" spans="1:12" ht="15.75" customHeight="1" x14ac:dyDescent="0.3">
      <c r="A66" s="1" t="s">
        <v>13</v>
      </c>
      <c r="B66" s="1" t="s">
        <v>25</v>
      </c>
      <c r="C66" s="1">
        <v>3941.11</v>
      </c>
      <c r="D66" s="1">
        <v>2020</v>
      </c>
      <c r="E66" s="1">
        <f t="shared" ca="1" si="0"/>
        <v>0.98026807732894883</v>
      </c>
      <c r="F66" s="2">
        <v>50000</v>
      </c>
      <c r="G66" s="2">
        <f t="shared" si="2"/>
        <v>197055500000</v>
      </c>
      <c r="H66" s="4">
        <v>27</v>
      </c>
      <c r="I66" s="1">
        <v>9800</v>
      </c>
      <c r="J66" s="2">
        <f t="shared" si="3"/>
        <v>106409.97</v>
      </c>
      <c r="K66" s="2">
        <f t="shared" si="4"/>
        <v>1042817706</v>
      </c>
      <c r="L66" s="2">
        <f t="shared" si="1"/>
        <v>196012682294</v>
      </c>
    </row>
    <row r="67" spans="1:12" ht="15.75" customHeight="1" x14ac:dyDescent="0.3">
      <c r="A67" s="1" t="s">
        <v>24</v>
      </c>
      <c r="B67" s="1" t="s">
        <v>47</v>
      </c>
      <c r="C67" s="1">
        <v>41.4</v>
      </c>
      <c r="D67" s="1">
        <v>2022</v>
      </c>
      <c r="E67" s="1">
        <f t="shared" ca="1" si="0"/>
        <v>0.51594174850268215</v>
      </c>
      <c r="F67" s="2">
        <v>68000</v>
      </c>
      <c r="G67" s="2">
        <f t="shared" si="2"/>
        <v>2815200000</v>
      </c>
      <c r="H67" s="4">
        <v>28</v>
      </c>
      <c r="I67" s="1">
        <v>18000</v>
      </c>
      <c r="J67" s="2">
        <f t="shared" si="3"/>
        <v>1159.2</v>
      </c>
      <c r="K67" s="2">
        <f t="shared" si="4"/>
        <v>20865600</v>
      </c>
      <c r="L67" s="2">
        <f t="shared" si="1"/>
        <v>2794334400</v>
      </c>
    </row>
    <row r="68" spans="1:12" ht="15.75" customHeight="1" x14ac:dyDescent="0.3">
      <c r="A68" s="1" t="s">
        <v>17</v>
      </c>
      <c r="B68" s="1" t="s">
        <v>42</v>
      </c>
      <c r="C68" s="1">
        <v>381.13</v>
      </c>
      <c r="D68" s="1">
        <v>2020</v>
      </c>
      <c r="E68" s="1">
        <f t="shared" ca="1" si="0"/>
        <v>0.57669915719858711</v>
      </c>
      <c r="F68" s="2">
        <v>130000</v>
      </c>
      <c r="G68" s="2">
        <f t="shared" si="2"/>
        <v>49546900000</v>
      </c>
      <c r="H68" s="4">
        <v>35</v>
      </c>
      <c r="I68" s="1">
        <v>17000</v>
      </c>
      <c r="J68" s="2">
        <f t="shared" si="3"/>
        <v>13339.55</v>
      </c>
      <c r="K68" s="2">
        <f t="shared" si="4"/>
        <v>226772350</v>
      </c>
      <c r="L68" s="2">
        <f t="shared" si="1"/>
        <v>49320127650</v>
      </c>
    </row>
    <row r="69" spans="1:12" ht="15.75" customHeight="1" x14ac:dyDescent="0.3">
      <c r="A69" s="1" t="s">
        <v>15</v>
      </c>
      <c r="B69" s="1" t="s">
        <v>32</v>
      </c>
      <c r="C69" s="1">
        <v>20897.07</v>
      </c>
      <c r="D69" s="1">
        <v>2022</v>
      </c>
      <c r="E69" s="1">
        <f t="shared" ca="1" si="0"/>
        <v>0.96340332615236324</v>
      </c>
      <c r="F69" s="2">
        <v>34000</v>
      </c>
      <c r="G69" s="2">
        <f t="shared" si="2"/>
        <v>710500380000</v>
      </c>
      <c r="H69" s="4">
        <v>20</v>
      </c>
      <c r="I69" s="1">
        <v>9000</v>
      </c>
      <c r="J69" s="2">
        <f t="shared" si="3"/>
        <v>417941.4</v>
      </c>
      <c r="K69" s="2">
        <f t="shared" si="4"/>
        <v>3761472600</v>
      </c>
      <c r="L69" s="2">
        <f t="shared" si="1"/>
        <v>706738907400</v>
      </c>
    </row>
    <row r="70" spans="1:12" ht="15.75" customHeight="1" x14ac:dyDescent="0.3">
      <c r="A70" s="1" t="s">
        <v>20</v>
      </c>
      <c r="B70" s="1" t="s">
        <v>19</v>
      </c>
      <c r="C70" s="1">
        <v>15596.78</v>
      </c>
      <c r="D70" s="1">
        <v>2020</v>
      </c>
      <c r="E70" s="1">
        <f t="shared" ca="1" si="0"/>
        <v>0.51806977527232367</v>
      </c>
      <c r="F70" s="2">
        <v>150000</v>
      </c>
      <c r="G70" s="2">
        <f t="shared" si="2"/>
        <v>2339517000000</v>
      </c>
      <c r="H70" s="4">
        <v>38</v>
      </c>
      <c r="I70" s="1">
        <v>17800</v>
      </c>
      <c r="J70" s="2">
        <f t="shared" si="3"/>
        <v>592677.64</v>
      </c>
      <c r="K70" s="2">
        <f t="shared" si="4"/>
        <v>10549661992</v>
      </c>
      <c r="L70" s="2">
        <f t="shared" si="1"/>
        <v>2328967338008</v>
      </c>
    </row>
    <row r="71" spans="1:12" ht="15.75" customHeight="1" x14ac:dyDescent="0.3">
      <c r="A71" s="1" t="s">
        <v>15</v>
      </c>
      <c r="B71" s="1" t="s">
        <v>48</v>
      </c>
      <c r="C71" s="1">
        <v>87548.47</v>
      </c>
      <c r="D71" s="1">
        <v>2020</v>
      </c>
      <c r="E71" s="1">
        <f t="shared" ca="1" si="0"/>
        <v>0.88859325021484636</v>
      </c>
      <c r="F71" s="2">
        <v>34000</v>
      </c>
      <c r="G71" s="2">
        <f t="shared" si="2"/>
        <v>2976647980000</v>
      </c>
      <c r="H71" s="4">
        <v>25</v>
      </c>
      <c r="I71" s="1">
        <v>9000</v>
      </c>
      <c r="J71" s="2">
        <f t="shared" si="3"/>
        <v>2188711.75</v>
      </c>
      <c r="K71" s="2">
        <f t="shared" si="4"/>
        <v>19698405750</v>
      </c>
      <c r="L71" s="2">
        <f t="shared" si="1"/>
        <v>2956949574250</v>
      </c>
    </row>
    <row r="72" spans="1:12" ht="15.75" customHeight="1" x14ac:dyDescent="0.3">
      <c r="A72" s="1" t="s">
        <v>15</v>
      </c>
      <c r="B72" s="1" t="s">
        <v>26</v>
      </c>
      <c r="C72" s="1">
        <v>452308.8</v>
      </c>
      <c r="D72" s="1">
        <v>2020</v>
      </c>
      <c r="E72" s="1">
        <f t="shared" ca="1" si="0"/>
        <v>0.96026381219920909</v>
      </c>
      <c r="F72" s="2">
        <v>34000</v>
      </c>
      <c r="G72" s="2">
        <f t="shared" si="2"/>
        <v>15378499200000</v>
      </c>
      <c r="H72" s="4">
        <v>25</v>
      </c>
      <c r="I72" s="1">
        <v>9000</v>
      </c>
      <c r="J72" s="2">
        <f t="shared" si="3"/>
        <v>11307720</v>
      </c>
      <c r="K72" s="2">
        <f t="shared" si="4"/>
        <v>101769480000</v>
      </c>
      <c r="L72" s="2">
        <f t="shared" si="1"/>
        <v>15276729720000</v>
      </c>
    </row>
    <row r="73" spans="1:12" ht="15.75" customHeight="1" x14ac:dyDescent="0.3">
      <c r="A73" s="1" t="s">
        <v>20</v>
      </c>
      <c r="B73" s="1" t="s">
        <v>32</v>
      </c>
      <c r="C73" s="1">
        <v>2263.1</v>
      </c>
      <c r="D73" s="1">
        <v>2020</v>
      </c>
      <c r="E73" s="1">
        <f t="shared" ca="1" si="0"/>
        <v>0.79897636341645373</v>
      </c>
      <c r="F73" s="2">
        <v>150000</v>
      </c>
      <c r="G73" s="2">
        <f t="shared" si="2"/>
        <v>339465000000</v>
      </c>
      <c r="H73" s="4">
        <v>38</v>
      </c>
      <c r="I73" s="1">
        <v>17800</v>
      </c>
      <c r="J73" s="2">
        <f t="shared" si="3"/>
        <v>85997.8</v>
      </c>
      <c r="K73" s="2">
        <f t="shared" si="4"/>
        <v>1530760840</v>
      </c>
      <c r="L73" s="2">
        <f t="shared" si="1"/>
        <v>337934239160</v>
      </c>
    </row>
    <row r="74" spans="1:12" ht="15.75" customHeight="1" x14ac:dyDescent="0.3">
      <c r="A74" s="1" t="s">
        <v>13</v>
      </c>
      <c r="B74" s="1" t="s">
        <v>36</v>
      </c>
      <c r="C74" s="1">
        <v>12533.78</v>
      </c>
      <c r="D74" s="1">
        <v>2020</v>
      </c>
      <c r="E74" s="1">
        <f t="shared" ca="1" si="0"/>
        <v>0.59217172108078686</v>
      </c>
      <c r="F74" s="2">
        <v>50000</v>
      </c>
      <c r="G74" s="2">
        <f t="shared" si="2"/>
        <v>626689000000</v>
      </c>
      <c r="H74" s="4">
        <v>27</v>
      </c>
      <c r="I74" s="1">
        <v>9800</v>
      </c>
      <c r="J74" s="2">
        <f t="shared" si="3"/>
        <v>338412.06</v>
      </c>
      <c r="K74" s="2">
        <f t="shared" si="4"/>
        <v>3316438188</v>
      </c>
      <c r="L74" s="2">
        <f t="shared" si="1"/>
        <v>623372561812</v>
      </c>
    </row>
    <row r="75" spans="1:12" ht="15.75" customHeight="1" x14ac:dyDescent="0.3">
      <c r="A75" s="1" t="s">
        <v>24</v>
      </c>
      <c r="B75" s="1" t="s">
        <v>34</v>
      </c>
      <c r="C75" s="1">
        <v>35.159999999999997</v>
      </c>
      <c r="D75" s="1">
        <v>2020</v>
      </c>
      <c r="E75" s="1">
        <f t="shared" ca="1" si="0"/>
        <v>0.7640711869043042</v>
      </c>
      <c r="F75" s="2">
        <v>68000</v>
      </c>
      <c r="G75" s="2">
        <f t="shared" si="2"/>
        <v>2390880000</v>
      </c>
      <c r="H75" s="4">
        <v>31</v>
      </c>
      <c r="I75" s="1">
        <v>18000</v>
      </c>
      <c r="J75" s="2">
        <f t="shared" si="3"/>
        <v>1089.9599999999998</v>
      </c>
      <c r="K75" s="2">
        <f t="shared" si="4"/>
        <v>19619279.999999996</v>
      </c>
      <c r="L75" s="2">
        <f t="shared" si="1"/>
        <v>2371260720</v>
      </c>
    </row>
    <row r="76" spans="1:12" ht="15.75" customHeight="1" x14ac:dyDescent="0.3">
      <c r="A76" s="1" t="s">
        <v>24</v>
      </c>
      <c r="B76" s="1" t="s">
        <v>26</v>
      </c>
      <c r="C76" s="1">
        <v>588.72</v>
      </c>
      <c r="D76" s="1">
        <v>2022</v>
      </c>
      <c r="E76" s="1">
        <f t="shared" ca="1" si="0"/>
        <v>0.40537324666749375</v>
      </c>
      <c r="F76" s="2">
        <v>68000</v>
      </c>
      <c r="G76" s="2">
        <f t="shared" si="2"/>
        <v>40032960000</v>
      </c>
      <c r="H76" s="4">
        <v>28</v>
      </c>
      <c r="I76" s="1">
        <v>18000</v>
      </c>
      <c r="J76" s="2">
        <f t="shared" si="3"/>
        <v>16484.16</v>
      </c>
      <c r="K76" s="2">
        <f t="shared" si="4"/>
        <v>296714880</v>
      </c>
      <c r="L76" s="2">
        <f t="shared" si="1"/>
        <v>39736245120</v>
      </c>
    </row>
    <row r="77" spans="1:12" ht="15.75" customHeight="1" x14ac:dyDescent="0.3">
      <c r="A77" s="1" t="s">
        <v>20</v>
      </c>
      <c r="B77" s="1" t="s">
        <v>35</v>
      </c>
      <c r="C77" s="1">
        <v>2308.12</v>
      </c>
      <c r="D77" s="1">
        <v>2022</v>
      </c>
      <c r="E77" s="1">
        <f t="shared" ca="1" si="0"/>
        <v>0.90321395686774375</v>
      </c>
      <c r="F77" s="2">
        <v>150000</v>
      </c>
      <c r="G77" s="2">
        <f t="shared" si="2"/>
        <v>346218000000</v>
      </c>
      <c r="H77" s="4">
        <v>40</v>
      </c>
      <c r="I77" s="1">
        <v>17800</v>
      </c>
      <c r="J77" s="2">
        <f t="shared" si="3"/>
        <v>92324.799999999988</v>
      </c>
      <c r="K77" s="2">
        <f t="shared" si="4"/>
        <v>1643381439.9999998</v>
      </c>
      <c r="L77" s="2">
        <f t="shared" si="1"/>
        <v>344574618560</v>
      </c>
    </row>
    <row r="78" spans="1:12" ht="15.75" customHeight="1" x14ac:dyDescent="0.3">
      <c r="A78" s="1" t="s">
        <v>13</v>
      </c>
      <c r="B78" s="1" t="s">
        <v>49</v>
      </c>
      <c r="C78" s="1">
        <v>9187.5499999999993</v>
      </c>
      <c r="D78" s="1">
        <v>2022</v>
      </c>
      <c r="E78" s="1">
        <f t="shared" ca="1" si="0"/>
        <v>0.88016010424868663</v>
      </c>
      <c r="F78" s="2">
        <v>50000</v>
      </c>
      <c r="G78" s="2">
        <f t="shared" si="2"/>
        <v>459377500000</v>
      </c>
      <c r="H78" s="4">
        <v>29</v>
      </c>
      <c r="I78" s="1">
        <v>9800</v>
      </c>
      <c r="J78" s="2">
        <f t="shared" si="3"/>
        <v>266438.94999999995</v>
      </c>
      <c r="K78" s="2">
        <f t="shared" si="4"/>
        <v>2611101709.9999995</v>
      </c>
      <c r="L78" s="2">
        <f t="shared" si="1"/>
        <v>456766398290</v>
      </c>
    </row>
    <row r="79" spans="1:12" ht="15.75" customHeight="1" x14ac:dyDescent="0.3">
      <c r="A79" s="1" t="s">
        <v>13</v>
      </c>
      <c r="B79" s="1" t="s">
        <v>44</v>
      </c>
      <c r="C79" s="1">
        <v>1643.69</v>
      </c>
      <c r="D79" s="1">
        <v>2022</v>
      </c>
      <c r="E79" s="1">
        <f t="shared" ca="1" si="0"/>
        <v>0.20652110326834339</v>
      </c>
      <c r="F79" s="2">
        <v>50000</v>
      </c>
      <c r="G79" s="2">
        <f t="shared" si="2"/>
        <v>82184500000</v>
      </c>
      <c r="H79" s="4">
        <v>29</v>
      </c>
      <c r="I79" s="1">
        <v>9800</v>
      </c>
      <c r="J79" s="2">
        <f t="shared" si="3"/>
        <v>47667.01</v>
      </c>
      <c r="K79" s="2">
        <f t="shared" si="4"/>
        <v>467136698</v>
      </c>
      <c r="L79" s="2">
        <f t="shared" si="1"/>
        <v>81717363302</v>
      </c>
    </row>
    <row r="80" spans="1:12" ht="15.75" customHeight="1" x14ac:dyDescent="0.3">
      <c r="A80" s="1" t="s">
        <v>17</v>
      </c>
      <c r="B80" s="1" t="s">
        <v>14</v>
      </c>
      <c r="C80" s="1">
        <v>20651.82</v>
      </c>
      <c r="D80" s="1">
        <v>2022</v>
      </c>
      <c r="E80" s="1">
        <f t="shared" ca="1" si="0"/>
        <v>0.78982551676561896</v>
      </c>
      <c r="F80" s="2">
        <v>130000</v>
      </c>
      <c r="G80" s="2">
        <f t="shared" si="2"/>
        <v>2684736600000</v>
      </c>
      <c r="H80" s="4">
        <v>37</v>
      </c>
      <c r="I80" s="1">
        <v>17000</v>
      </c>
      <c r="J80" s="2">
        <f t="shared" si="3"/>
        <v>764117.34</v>
      </c>
      <c r="K80" s="2">
        <f t="shared" si="4"/>
        <v>12989994780</v>
      </c>
      <c r="L80" s="2">
        <f t="shared" si="1"/>
        <v>2671746605220</v>
      </c>
    </row>
    <row r="81" spans="1:12" ht="15.75" customHeight="1" x14ac:dyDescent="0.3">
      <c r="A81" s="1" t="s">
        <v>24</v>
      </c>
      <c r="B81" s="1" t="s">
        <v>33</v>
      </c>
      <c r="C81" s="1">
        <v>0</v>
      </c>
      <c r="D81" s="1">
        <v>2022</v>
      </c>
      <c r="E81" s="1">
        <f t="shared" ca="1" si="0"/>
        <v>0.5317347250278569</v>
      </c>
      <c r="F81" s="2">
        <v>68000</v>
      </c>
      <c r="G81" s="2">
        <f t="shared" si="2"/>
        <v>0</v>
      </c>
      <c r="H81" s="4">
        <v>28</v>
      </c>
      <c r="I81" s="1">
        <v>18000</v>
      </c>
      <c r="J81" s="2">
        <f t="shared" si="3"/>
        <v>0</v>
      </c>
      <c r="K81" s="2">
        <f t="shared" si="4"/>
        <v>0</v>
      </c>
      <c r="L81" s="2">
        <f t="shared" si="1"/>
        <v>0</v>
      </c>
    </row>
    <row r="82" spans="1:12" ht="15.75" customHeight="1" x14ac:dyDescent="0.3">
      <c r="A82" s="1" t="s">
        <v>17</v>
      </c>
      <c r="B82" s="1" t="s">
        <v>18</v>
      </c>
      <c r="C82" s="1">
        <v>111.11</v>
      </c>
      <c r="D82" s="1">
        <v>2021</v>
      </c>
      <c r="E82" s="1">
        <f t="shared" ca="1" si="0"/>
        <v>0.28887449849024782</v>
      </c>
      <c r="F82" s="2">
        <v>130000</v>
      </c>
      <c r="G82" s="2">
        <f t="shared" si="2"/>
        <v>14444300000</v>
      </c>
      <c r="H82" s="4">
        <v>32</v>
      </c>
      <c r="I82" s="1">
        <v>17000</v>
      </c>
      <c r="J82" s="2">
        <f t="shared" si="3"/>
        <v>3555.52</v>
      </c>
      <c r="K82" s="2">
        <f t="shared" si="4"/>
        <v>60443840</v>
      </c>
      <c r="L82" s="2">
        <f t="shared" si="1"/>
        <v>14383856160</v>
      </c>
    </row>
    <row r="83" spans="1:12" ht="15.75" customHeight="1" x14ac:dyDescent="0.3">
      <c r="A83" s="1" t="s">
        <v>13</v>
      </c>
      <c r="B83" s="1" t="s">
        <v>50</v>
      </c>
      <c r="C83" s="1">
        <v>6892.99</v>
      </c>
      <c r="D83" s="1">
        <v>2020</v>
      </c>
      <c r="E83" s="1">
        <f t="shared" ca="1" si="0"/>
        <v>1.5601679721931938E-2</v>
      </c>
      <c r="F83" s="2">
        <v>50000</v>
      </c>
      <c r="G83" s="2">
        <f t="shared" si="2"/>
        <v>344649500000</v>
      </c>
      <c r="H83" s="4">
        <v>27</v>
      </c>
      <c r="I83" s="1">
        <v>9800</v>
      </c>
      <c r="J83" s="2">
        <f t="shared" si="3"/>
        <v>186110.72999999998</v>
      </c>
      <c r="K83" s="2">
        <f t="shared" si="4"/>
        <v>1823885153.9999998</v>
      </c>
      <c r="L83" s="2">
        <f t="shared" si="1"/>
        <v>342825614846</v>
      </c>
    </row>
    <row r="84" spans="1:12" ht="15.75" customHeight="1" x14ac:dyDescent="0.3">
      <c r="A84" s="1" t="s">
        <v>13</v>
      </c>
      <c r="B84" s="1" t="s">
        <v>18</v>
      </c>
      <c r="C84" s="1">
        <v>1173.2</v>
      </c>
      <c r="D84" s="1">
        <v>2021</v>
      </c>
      <c r="E84" s="1">
        <f t="shared" ca="1" si="0"/>
        <v>0.11960517168210494</v>
      </c>
      <c r="F84" s="2">
        <v>50000</v>
      </c>
      <c r="G84" s="2">
        <f t="shared" si="2"/>
        <v>58660000000</v>
      </c>
      <c r="H84" s="4">
        <v>26</v>
      </c>
      <c r="I84" s="1">
        <v>9800</v>
      </c>
      <c r="J84" s="2">
        <f t="shared" si="3"/>
        <v>30503.200000000001</v>
      </c>
      <c r="K84" s="2">
        <f t="shared" si="4"/>
        <v>298931360</v>
      </c>
      <c r="L84" s="2">
        <f t="shared" si="1"/>
        <v>58361068640</v>
      </c>
    </row>
    <row r="85" spans="1:12" ht="15.75" customHeight="1" x14ac:dyDescent="0.3">
      <c r="A85" s="1" t="s">
        <v>13</v>
      </c>
      <c r="B85" s="1" t="s">
        <v>42</v>
      </c>
      <c r="C85" s="1">
        <v>6241.05</v>
      </c>
      <c r="D85" s="1">
        <v>2021</v>
      </c>
      <c r="E85" s="1">
        <f t="shared" ca="1" si="0"/>
        <v>0.2166609241162345</v>
      </c>
      <c r="F85" s="2">
        <v>50000</v>
      </c>
      <c r="G85" s="2">
        <f t="shared" si="2"/>
        <v>312052500000</v>
      </c>
      <c r="H85" s="4">
        <v>26</v>
      </c>
      <c r="I85" s="1">
        <v>9800</v>
      </c>
      <c r="J85" s="2">
        <f t="shared" si="3"/>
        <v>162267.30000000002</v>
      </c>
      <c r="K85" s="2">
        <f t="shared" si="4"/>
        <v>1590219540.0000002</v>
      </c>
      <c r="L85" s="2">
        <f t="shared" si="1"/>
        <v>310462280460</v>
      </c>
    </row>
    <row r="86" spans="1:12" ht="15.75" customHeight="1" x14ac:dyDescent="0.3">
      <c r="A86" s="1" t="s">
        <v>13</v>
      </c>
      <c r="B86" s="1" t="s">
        <v>18</v>
      </c>
      <c r="C86" s="1">
        <v>1394.5</v>
      </c>
      <c r="D86" s="1">
        <v>2020</v>
      </c>
      <c r="E86" s="1">
        <f t="shared" ca="1" si="0"/>
        <v>0.97961703889270979</v>
      </c>
      <c r="F86" s="2">
        <v>50000</v>
      </c>
      <c r="G86" s="2">
        <f t="shared" si="2"/>
        <v>69725000000</v>
      </c>
      <c r="H86" s="4">
        <v>27</v>
      </c>
      <c r="I86" s="1">
        <v>9800</v>
      </c>
      <c r="J86" s="2">
        <f t="shared" si="3"/>
        <v>37651.5</v>
      </c>
      <c r="K86" s="2">
        <f t="shared" si="4"/>
        <v>368984700</v>
      </c>
      <c r="L86" s="2">
        <f t="shared" si="1"/>
        <v>69356015300</v>
      </c>
    </row>
    <row r="87" spans="1:12" ht="15.75" customHeight="1" x14ac:dyDescent="0.3">
      <c r="A87" s="1" t="s">
        <v>24</v>
      </c>
      <c r="B87" s="1" t="s">
        <v>25</v>
      </c>
      <c r="C87" s="1">
        <v>0</v>
      </c>
      <c r="D87" s="1">
        <v>2021</v>
      </c>
      <c r="E87" s="1">
        <f t="shared" ca="1" si="0"/>
        <v>0.71610655298951931</v>
      </c>
      <c r="F87" s="2">
        <v>68000</v>
      </c>
      <c r="G87" s="2">
        <f t="shared" si="2"/>
        <v>0</v>
      </c>
      <c r="H87" s="4">
        <v>33</v>
      </c>
      <c r="I87" s="1">
        <v>18000</v>
      </c>
      <c r="J87" s="2">
        <f t="shared" si="3"/>
        <v>0</v>
      </c>
      <c r="K87" s="2">
        <f t="shared" si="4"/>
        <v>0</v>
      </c>
      <c r="L87" s="2">
        <f t="shared" si="1"/>
        <v>0</v>
      </c>
    </row>
    <row r="88" spans="1:12" ht="15.75" customHeight="1" x14ac:dyDescent="0.3">
      <c r="A88" s="1" t="s">
        <v>15</v>
      </c>
      <c r="B88" s="1" t="s">
        <v>19</v>
      </c>
      <c r="C88" s="1">
        <v>188248.24</v>
      </c>
      <c r="D88" s="1">
        <v>2022</v>
      </c>
      <c r="E88" s="1">
        <f t="shared" ca="1" si="0"/>
        <v>0.20873419395447135</v>
      </c>
      <c r="F88" s="2">
        <v>34000</v>
      </c>
      <c r="G88" s="2">
        <f t="shared" si="2"/>
        <v>6400440160000</v>
      </c>
      <c r="H88" s="4">
        <v>20</v>
      </c>
      <c r="I88" s="1">
        <v>9000</v>
      </c>
      <c r="J88" s="2">
        <f t="shared" si="3"/>
        <v>3764964.8</v>
      </c>
      <c r="K88" s="2">
        <f t="shared" si="4"/>
        <v>33884683200</v>
      </c>
      <c r="L88" s="2">
        <f t="shared" si="1"/>
        <v>6366555476800</v>
      </c>
    </row>
    <row r="89" spans="1:12" ht="15.75" customHeight="1" x14ac:dyDescent="0.3">
      <c r="A89" s="1" t="s">
        <v>24</v>
      </c>
      <c r="B89" s="1" t="s">
        <v>47</v>
      </c>
      <c r="C89" s="1">
        <v>10.54</v>
      </c>
      <c r="D89" s="1">
        <v>2020</v>
      </c>
      <c r="E89" s="1">
        <f t="shared" ca="1" si="0"/>
        <v>0.24248386474419203</v>
      </c>
      <c r="F89" s="2">
        <v>68000</v>
      </c>
      <c r="G89" s="2">
        <f t="shared" si="2"/>
        <v>716720000</v>
      </c>
      <c r="H89" s="4">
        <v>31</v>
      </c>
      <c r="I89" s="1">
        <v>18000</v>
      </c>
      <c r="J89" s="2">
        <f t="shared" si="3"/>
        <v>326.73999999999995</v>
      </c>
      <c r="K89" s="2">
        <f t="shared" si="4"/>
        <v>5881319.9999999991</v>
      </c>
      <c r="L89" s="2">
        <f t="shared" si="1"/>
        <v>710838680</v>
      </c>
    </row>
    <row r="90" spans="1:12" ht="15.75" customHeight="1" x14ac:dyDescent="0.3">
      <c r="A90" s="1" t="s">
        <v>13</v>
      </c>
      <c r="B90" s="1" t="s">
        <v>45</v>
      </c>
      <c r="C90" s="1">
        <v>2295.14</v>
      </c>
      <c r="D90" s="1">
        <v>2020</v>
      </c>
      <c r="E90" s="1">
        <f t="shared" ca="1" si="0"/>
        <v>0.2870702943271316</v>
      </c>
      <c r="F90" s="2">
        <v>50000</v>
      </c>
      <c r="G90" s="2">
        <f t="shared" si="2"/>
        <v>114757000000</v>
      </c>
      <c r="H90" s="4">
        <v>27</v>
      </c>
      <c r="I90" s="1">
        <v>9800</v>
      </c>
      <c r="J90" s="2">
        <f t="shared" si="3"/>
        <v>61968.78</v>
      </c>
      <c r="K90" s="2">
        <f t="shared" si="4"/>
        <v>607294044</v>
      </c>
      <c r="L90" s="2">
        <f t="shared" si="1"/>
        <v>114149705956</v>
      </c>
    </row>
    <row r="91" spans="1:12" ht="15.75" customHeight="1" x14ac:dyDescent="0.3">
      <c r="A91" s="1" t="s">
        <v>13</v>
      </c>
      <c r="B91" s="1" t="s">
        <v>26</v>
      </c>
      <c r="C91" s="1">
        <v>15737.5</v>
      </c>
      <c r="D91" s="1">
        <v>2020</v>
      </c>
      <c r="E91" s="1">
        <f t="shared" ca="1" si="0"/>
        <v>0.8924045966146863</v>
      </c>
      <c r="F91" s="2">
        <v>50000</v>
      </c>
      <c r="G91" s="2">
        <f t="shared" si="2"/>
        <v>786875000000</v>
      </c>
      <c r="H91" s="4">
        <v>27</v>
      </c>
      <c r="I91" s="1">
        <v>9800</v>
      </c>
      <c r="J91" s="2">
        <f t="shared" si="3"/>
        <v>424912.5</v>
      </c>
      <c r="K91" s="2">
        <f t="shared" si="4"/>
        <v>4164142500</v>
      </c>
      <c r="L91" s="2">
        <f t="shared" si="1"/>
        <v>782710857500</v>
      </c>
    </row>
    <row r="92" spans="1:12" ht="15.75" customHeight="1" x14ac:dyDescent="0.3">
      <c r="A92" s="1" t="s">
        <v>13</v>
      </c>
      <c r="B92" s="1" t="s">
        <v>43</v>
      </c>
      <c r="C92" s="1">
        <v>22826.93</v>
      </c>
      <c r="D92" s="1">
        <v>2021</v>
      </c>
      <c r="E92" s="1">
        <f t="shared" ca="1" si="0"/>
        <v>0.15994105245111678</v>
      </c>
      <c r="F92" s="2">
        <v>50000</v>
      </c>
      <c r="G92" s="2">
        <f t="shared" si="2"/>
        <v>1141346500000</v>
      </c>
      <c r="H92" s="4">
        <v>26</v>
      </c>
      <c r="I92" s="1">
        <v>9800</v>
      </c>
      <c r="J92" s="2">
        <f t="shared" si="3"/>
        <v>593500.18000000005</v>
      </c>
      <c r="K92" s="2">
        <f t="shared" si="4"/>
        <v>5816301764.000001</v>
      </c>
      <c r="L92" s="2">
        <f t="shared" si="1"/>
        <v>1135530198236</v>
      </c>
    </row>
    <row r="93" spans="1:12" ht="15.75" customHeight="1" x14ac:dyDescent="0.3">
      <c r="A93" s="1" t="s">
        <v>20</v>
      </c>
      <c r="B93" s="1" t="s">
        <v>16</v>
      </c>
      <c r="C93" s="1">
        <v>2899.38</v>
      </c>
      <c r="D93" s="1">
        <v>2021</v>
      </c>
      <c r="E93" s="1">
        <f t="shared" ca="1" si="0"/>
        <v>0.78242648818757565</v>
      </c>
      <c r="F93" s="2">
        <v>150000</v>
      </c>
      <c r="G93" s="2">
        <f t="shared" si="2"/>
        <v>434907000000</v>
      </c>
      <c r="H93" s="4">
        <v>39</v>
      </c>
      <c r="I93" s="1">
        <v>17800</v>
      </c>
      <c r="J93" s="2">
        <f t="shared" si="3"/>
        <v>113075.82</v>
      </c>
      <c r="K93" s="2">
        <f t="shared" si="4"/>
        <v>2012749596.0000002</v>
      </c>
      <c r="L93" s="2">
        <f t="shared" si="1"/>
        <v>432894250404</v>
      </c>
    </row>
    <row r="94" spans="1:12" ht="15.75" customHeight="1" x14ac:dyDescent="0.3">
      <c r="A94" s="1" t="s">
        <v>24</v>
      </c>
      <c r="B94" s="1" t="s">
        <v>51</v>
      </c>
      <c r="C94" s="1">
        <v>4.88</v>
      </c>
      <c r="D94" s="1">
        <v>2022</v>
      </c>
      <c r="E94" s="1">
        <f t="shared" ca="1" si="0"/>
        <v>0.54818138327516985</v>
      </c>
      <c r="F94" s="2">
        <v>68000</v>
      </c>
      <c r="G94" s="2">
        <f t="shared" si="2"/>
        <v>331840000</v>
      </c>
      <c r="H94" s="4">
        <v>28</v>
      </c>
      <c r="I94" s="1">
        <v>18000</v>
      </c>
      <c r="J94" s="2">
        <f t="shared" si="3"/>
        <v>136.63999999999999</v>
      </c>
      <c r="K94" s="2">
        <f t="shared" si="4"/>
        <v>2459519.9999999995</v>
      </c>
      <c r="L94" s="2">
        <f t="shared" si="1"/>
        <v>329380480</v>
      </c>
    </row>
    <row r="95" spans="1:12" ht="15.75" customHeight="1" x14ac:dyDescent="0.3">
      <c r="A95" s="1" t="s">
        <v>24</v>
      </c>
      <c r="B95" s="1" t="s">
        <v>14</v>
      </c>
      <c r="C95" s="1">
        <v>6040.64</v>
      </c>
      <c r="D95" s="1">
        <v>2021</v>
      </c>
      <c r="E95" s="1">
        <f t="shared" ca="1" si="0"/>
        <v>0.9161859927403273</v>
      </c>
      <c r="F95" s="2">
        <v>68000</v>
      </c>
      <c r="G95" s="2">
        <f t="shared" si="2"/>
        <v>410763520000</v>
      </c>
      <c r="H95" s="4">
        <v>33</v>
      </c>
      <c r="I95" s="1">
        <v>18000</v>
      </c>
      <c r="J95" s="2">
        <f t="shared" si="3"/>
        <v>199341.12000000002</v>
      </c>
      <c r="K95" s="2">
        <f t="shared" si="4"/>
        <v>3588140160.0000005</v>
      </c>
      <c r="L95" s="2">
        <f t="shared" si="1"/>
        <v>407175379840</v>
      </c>
    </row>
    <row r="96" spans="1:12" ht="15.75" customHeight="1" x14ac:dyDescent="0.3">
      <c r="A96" s="1" t="s">
        <v>20</v>
      </c>
      <c r="B96" s="1" t="s">
        <v>40</v>
      </c>
      <c r="C96" s="1">
        <v>8176.8</v>
      </c>
      <c r="D96" s="1">
        <v>2021</v>
      </c>
      <c r="E96" s="1">
        <f t="shared" ca="1" si="0"/>
        <v>4.3460695976657804E-2</v>
      </c>
      <c r="F96" s="2">
        <v>150000</v>
      </c>
      <c r="G96" s="2">
        <f t="shared" si="2"/>
        <v>1226520000000</v>
      </c>
      <c r="H96" s="4">
        <v>39</v>
      </c>
      <c r="I96" s="1">
        <v>17800</v>
      </c>
      <c r="J96" s="2">
        <f t="shared" si="3"/>
        <v>318895.2</v>
      </c>
      <c r="K96" s="2">
        <f t="shared" si="4"/>
        <v>5676334560</v>
      </c>
      <c r="L96" s="2">
        <f t="shared" si="1"/>
        <v>1220843665440</v>
      </c>
    </row>
    <row r="97" spans="1:12" ht="15.75" customHeight="1" x14ac:dyDescent="0.3">
      <c r="A97" s="1" t="s">
        <v>17</v>
      </c>
      <c r="B97" s="1" t="s">
        <v>19</v>
      </c>
      <c r="C97" s="1">
        <v>762.87</v>
      </c>
      <c r="D97" s="1">
        <v>2020</v>
      </c>
      <c r="E97" s="1">
        <f t="shared" ca="1" si="0"/>
        <v>0.89565947140414748</v>
      </c>
      <c r="F97" s="2">
        <v>130000</v>
      </c>
      <c r="G97" s="2">
        <f t="shared" si="2"/>
        <v>99173100000</v>
      </c>
      <c r="H97" s="4">
        <v>35</v>
      </c>
      <c r="I97" s="1">
        <v>17000</v>
      </c>
      <c r="J97" s="2">
        <f t="shared" si="3"/>
        <v>26700.45</v>
      </c>
      <c r="K97" s="2">
        <f t="shared" si="4"/>
        <v>453907650</v>
      </c>
      <c r="L97" s="2">
        <f t="shared" si="1"/>
        <v>98719192350</v>
      </c>
    </row>
    <row r="98" spans="1:12" ht="15.75" customHeight="1" x14ac:dyDescent="0.3">
      <c r="A98" s="1" t="s">
        <v>13</v>
      </c>
      <c r="B98" s="1" t="s">
        <v>27</v>
      </c>
      <c r="C98" s="1">
        <v>692.58</v>
      </c>
      <c r="D98" s="1">
        <v>2022</v>
      </c>
      <c r="E98" s="1">
        <f t="shared" ca="1" si="0"/>
        <v>0.99306898427308676</v>
      </c>
      <c r="F98" s="2">
        <v>50000</v>
      </c>
      <c r="G98" s="2">
        <f t="shared" si="2"/>
        <v>34629000000</v>
      </c>
      <c r="H98" s="4">
        <v>29</v>
      </c>
      <c r="I98" s="1">
        <v>9800</v>
      </c>
      <c r="J98" s="2">
        <f t="shared" si="3"/>
        <v>20084.82</v>
      </c>
      <c r="K98" s="2">
        <f t="shared" si="4"/>
        <v>196831236</v>
      </c>
      <c r="L98" s="2">
        <f t="shared" si="1"/>
        <v>34432168764</v>
      </c>
    </row>
    <row r="99" spans="1:12" ht="15.75" customHeight="1" x14ac:dyDescent="0.3">
      <c r="A99" s="1" t="s">
        <v>17</v>
      </c>
      <c r="B99" s="1" t="s">
        <v>35</v>
      </c>
      <c r="C99" s="1">
        <v>324.49</v>
      </c>
      <c r="D99" s="1">
        <v>2022</v>
      </c>
      <c r="E99" s="1">
        <f t="shared" ca="1" si="0"/>
        <v>0.25874470536005423</v>
      </c>
      <c r="F99" s="2">
        <v>130000</v>
      </c>
      <c r="G99" s="2">
        <f t="shared" si="2"/>
        <v>42183700000</v>
      </c>
      <c r="H99" s="4">
        <v>37</v>
      </c>
      <c r="I99" s="1">
        <v>17000</v>
      </c>
      <c r="J99" s="2">
        <f t="shared" si="3"/>
        <v>12006.130000000001</v>
      </c>
      <c r="K99" s="2">
        <f t="shared" si="4"/>
        <v>204104210.00000003</v>
      </c>
      <c r="L99" s="2">
        <f t="shared" si="1"/>
        <v>41979595790</v>
      </c>
    </row>
    <row r="100" spans="1:12" ht="15.75" customHeight="1" x14ac:dyDescent="0.3">
      <c r="A100" s="1" t="s">
        <v>15</v>
      </c>
      <c r="B100" s="1" t="s">
        <v>23</v>
      </c>
      <c r="C100" s="1">
        <v>587201.77</v>
      </c>
      <c r="D100" s="1">
        <v>2020</v>
      </c>
      <c r="E100" s="1">
        <f t="shared" ca="1" si="0"/>
        <v>0.75257493084473726</v>
      </c>
      <c r="F100" s="2">
        <v>34000</v>
      </c>
      <c r="G100" s="2">
        <f t="shared" si="2"/>
        <v>19964860180000</v>
      </c>
      <c r="H100" s="4">
        <v>25</v>
      </c>
      <c r="I100" s="1">
        <v>9000</v>
      </c>
      <c r="J100" s="2">
        <f t="shared" si="3"/>
        <v>14680044.25</v>
      </c>
      <c r="K100" s="2">
        <f t="shared" si="4"/>
        <v>132120398250</v>
      </c>
      <c r="L100" s="2">
        <f t="shared" si="1"/>
        <v>19832739781750</v>
      </c>
    </row>
    <row r="101" spans="1:12" ht="15.75" customHeight="1" x14ac:dyDescent="0.3">
      <c r="A101" s="1" t="s">
        <v>17</v>
      </c>
      <c r="B101" s="1" t="s">
        <v>32</v>
      </c>
      <c r="C101" s="1">
        <v>291.58</v>
      </c>
      <c r="D101" s="1">
        <v>2021</v>
      </c>
      <c r="E101" s="1">
        <f t="shared" ca="1" si="0"/>
        <v>0.1198617419360255</v>
      </c>
      <c r="F101" s="2">
        <v>130000</v>
      </c>
      <c r="G101" s="2">
        <f t="shared" si="2"/>
        <v>37905400000</v>
      </c>
      <c r="H101" s="4">
        <v>32</v>
      </c>
      <c r="I101" s="1">
        <v>17000</v>
      </c>
      <c r="J101" s="2">
        <f t="shared" si="3"/>
        <v>9330.56</v>
      </c>
      <c r="K101" s="2">
        <f t="shared" si="4"/>
        <v>158619520</v>
      </c>
      <c r="L101" s="2">
        <f t="shared" si="1"/>
        <v>37746780480</v>
      </c>
    </row>
    <row r="102" spans="1:12" ht="15.75" customHeight="1" x14ac:dyDescent="0.3">
      <c r="A102" s="1" t="s">
        <v>17</v>
      </c>
      <c r="B102" s="1" t="s">
        <v>51</v>
      </c>
      <c r="C102" s="1">
        <v>757.49</v>
      </c>
      <c r="D102" s="1">
        <v>2021</v>
      </c>
      <c r="E102" s="1">
        <f t="shared" ca="1" si="0"/>
        <v>0.88940003076809127</v>
      </c>
      <c r="F102" s="2">
        <v>130000</v>
      </c>
      <c r="G102" s="2">
        <f t="shared" si="2"/>
        <v>98473700000</v>
      </c>
      <c r="H102" s="4">
        <v>32</v>
      </c>
      <c r="I102" s="1">
        <v>17000</v>
      </c>
      <c r="J102" s="2">
        <f t="shared" si="3"/>
        <v>24239.68</v>
      </c>
      <c r="K102" s="2">
        <f t="shared" si="4"/>
        <v>412074560</v>
      </c>
      <c r="L102" s="2">
        <f t="shared" si="1"/>
        <v>98061625440</v>
      </c>
    </row>
    <row r="103" spans="1:12" ht="15.75" customHeight="1" x14ac:dyDescent="0.3">
      <c r="A103" s="1" t="s">
        <v>24</v>
      </c>
      <c r="B103" s="1" t="s">
        <v>21</v>
      </c>
      <c r="C103" s="1">
        <v>6209.92</v>
      </c>
      <c r="D103" s="1">
        <v>2021</v>
      </c>
      <c r="E103" s="1">
        <f t="shared" ca="1" si="0"/>
        <v>0.1220238772111587</v>
      </c>
      <c r="F103" s="2">
        <v>68000</v>
      </c>
      <c r="G103" s="2">
        <f t="shared" si="2"/>
        <v>422274560000</v>
      </c>
      <c r="H103" s="4">
        <v>33</v>
      </c>
      <c r="I103" s="1">
        <v>18000</v>
      </c>
      <c r="J103" s="2">
        <f t="shared" si="3"/>
        <v>204927.36000000002</v>
      </c>
      <c r="K103" s="2">
        <f t="shared" si="4"/>
        <v>3688692480.0000005</v>
      </c>
      <c r="L103" s="2">
        <f t="shared" si="1"/>
        <v>418585867520</v>
      </c>
    </row>
    <row r="104" spans="1:12" ht="15.75" customHeight="1" x14ac:dyDescent="0.3">
      <c r="A104" s="1" t="s">
        <v>15</v>
      </c>
      <c r="B104" s="1" t="s">
        <v>49</v>
      </c>
      <c r="C104" s="1">
        <v>774.4</v>
      </c>
      <c r="D104" s="1">
        <v>2021</v>
      </c>
      <c r="E104" s="1">
        <f t="shared" ca="1" si="0"/>
        <v>0.37848048492950581</v>
      </c>
      <c r="F104" s="2">
        <v>34000</v>
      </c>
      <c r="G104" s="2">
        <f t="shared" si="2"/>
        <v>26329600000</v>
      </c>
      <c r="H104" s="4">
        <v>21</v>
      </c>
      <c r="I104" s="1">
        <v>9000</v>
      </c>
      <c r="J104" s="2">
        <f t="shared" si="3"/>
        <v>16262.4</v>
      </c>
      <c r="K104" s="2">
        <f t="shared" si="4"/>
        <v>146361600</v>
      </c>
      <c r="L104" s="2">
        <f t="shared" si="1"/>
        <v>26183238400</v>
      </c>
    </row>
    <row r="105" spans="1:12" ht="15.75" customHeight="1" x14ac:dyDescent="0.3">
      <c r="A105" s="1" t="s">
        <v>13</v>
      </c>
      <c r="B105" s="1" t="s">
        <v>32</v>
      </c>
      <c r="C105" s="1">
        <v>291.51</v>
      </c>
      <c r="D105" s="1">
        <v>2021</v>
      </c>
      <c r="E105" s="1">
        <f t="shared" ca="1" si="0"/>
        <v>0.59745023407861231</v>
      </c>
      <c r="F105" s="2">
        <v>50000</v>
      </c>
      <c r="G105" s="2">
        <f t="shared" si="2"/>
        <v>14575500000</v>
      </c>
      <c r="H105" s="4">
        <v>26</v>
      </c>
      <c r="I105" s="1">
        <v>9800</v>
      </c>
      <c r="J105" s="2">
        <f t="shared" si="3"/>
        <v>7579.26</v>
      </c>
      <c r="K105" s="2">
        <f t="shared" si="4"/>
        <v>74276748</v>
      </c>
      <c r="L105" s="2">
        <f t="shared" si="1"/>
        <v>14501223252</v>
      </c>
    </row>
    <row r="106" spans="1:12" ht="15.75" customHeight="1" x14ac:dyDescent="0.3">
      <c r="A106" s="1" t="s">
        <v>15</v>
      </c>
      <c r="B106" s="1" t="s">
        <v>41</v>
      </c>
      <c r="C106" s="1">
        <v>4066.73</v>
      </c>
      <c r="D106" s="1">
        <v>2021</v>
      </c>
      <c r="E106" s="1">
        <f t="shared" ca="1" si="0"/>
        <v>0.49460027533037465</v>
      </c>
      <c r="F106" s="2">
        <v>34000</v>
      </c>
      <c r="G106" s="2">
        <f t="shared" si="2"/>
        <v>138268820000</v>
      </c>
      <c r="H106" s="4">
        <v>21</v>
      </c>
      <c r="I106" s="1">
        <v>9000</v>
      </c>
      <c r="J106" s="2">
        <f t="shared" si="3"/>
        <v>85401.33</v>
      </c>
      <c r="K106" s="2">
        <f t="shared" si="4"/>
        <v>768611970</v>
      </c>
      <c r="L106" s="2">
        <f t="shared" si="1"/>
        <v>137500208030</v>
      </c>
    </row>
    <row r="107" spans="1:12" ht="15.75" customHeight="1" x14ac:dyDescent="0.3">
      <c r="A107" s="1" t="s">
        <v>24</v>
      </c>
      <c r="B107" s="1" t="s">
        <v>45</v>
      </c>
      <c r="C107" s="1">
        <v>0</v>
      </c>
      <c r="D107" s="1">
        <v>2021</v>
      </c>
      <c r="E107" s="1">
        <f t="shared" ca="1" si="0"/>
        <v>0.55809845566462113</v>
      </c>
      <c r="F107" s="2">
        <v>68000</v>
      </c>
      <c r="G107" s="2">
        <f t="shared" si="2"/>
        <v>0</v>
      </c>
      <c r="H107" s="4">
        <v>33</v>
      </c>
      <c r="I107" s="1">
        <v>18000</v>
      </c>
      <c r="J107" s="2">
        <f t="shared" si="3"/>
        <v>0</v>
      </c>
      <c r="K107" s="2">
        <f t="shared" si="4"/>
        <v>0</v>
      </c>
      <c r="L107" s="2">
        <f t="shared" si="1"/>
        <v>0</v>
      </c>
    </row>
    <row r="108" spans="1:12" ht="15.75" customHeight="1" x14ac:dyDescent="0.3">
      <c r="A108" s="1" t="s">
        <v>17</v>
      </c>
      <c r="B108" s="1" t="s">
        <v>16</v>
      </c>
      <c r="C108" s="1">
        <v>290.73</v>
      </c>
      <c r="D108" s="1">
        <v>2022</v>
      </c>
      <c r="E108" s="1">
        <f t="shared" ca="1" si="0"/>
        <v>0.19572995156635309</v>
      </c>
      <c r="F108" s="2">
        <v>130000</v>
      </c>
      <c r="G108" s="2">
        <f t="shared" si="2"/>
        <v>37794900000</v>
      </c>
      <c r="H108" s="4">
        <v>37</v>
      </c>
      <c r="I108" s="1">
        <v>17000</v>
      </c>
      <c r="J108" s="2">
        <f t="shared" si="3"/>
        <v>10757.01</v>
      </c>
      <c r="K108" s="2">
        <f t="shared" si="4"/>
        <v>182869170</v>
      </c>
      <c r="L108" s="2">
        <f t="shared" si="1"/>
        <v>37612030830</v>
      </c>
    </row>
    <row r="109" spans="1:12" ht="15.75" customHeight="1" x14ac:dyDescent="0.3">
      <c r="A109" s="1" t="s">
        <v>15</v>
      </c>
      <c r="B109" s="1" t="s">
        <v>43</v>
      </c>
      <c r="C109" s="1">
        <v>183084.08</v>
      </c>
      <c r="D109" s="1">
        <v>2020</v>
      </c>
      <c r="E109" s="1">
        <f t="shared" ca="1" si="0"/>
        <v>0.26246964005838058</v>
      </c>
      <c r="F109" s="2">
        <v>34000</v>
      </c>
      <c r="G109" s="2">
        <f t="shared" si="2"/>
        <v>6224858720000</v>
      </c>
      <c r="H109" s="4">
        <v>25</v>
      </c>
      <c r="I109" s="1">
        <v>9000</v>
      </c>
      <c r="J109" s="2">
        <f t="shared" si="3"/>
        <v>4577102</v>
      </c>
      <c r="K109" s="2">
        <f t="shared" si="4"/>
        <v>41193918000</v>
      </c>
      <c r="L109" s="2">
        <f t="shared" si="1"/>
        <v>6183664802000</v>
      </c>
    </row>
    <row r="110" spans="1:12" ht="15.75" customHeight="1" x14ac:dyDescent="0.3">
      <c r="A110" s="1" t="s">
        <v>24</v>
      </c>
      <c r="B110" s="1" t="s">
        <v>46</v>
      </c>
      <c r="C110" s="1">
        <v>0.17</v>
      </c>
      <c r="D110" s="1">
        <v>2020</v>
      </c>
      <c r="E110" s="1">
        <f t="shared" ca="1" si="0"/>
        <v>0.82997447449553707</v>
      </c>
      <c r="F110" s="2">
        <v>68000</v>
      </c>
      <c r="G110" s="2">
        <f t="shared" si="2"/>
        <v>11560000</v>
      </c>
      <c r="H110" s="4">
        <v>31</v>
      </c>
      <c r="I110" s="1">
        <v>18000</v>
      </c>
      <c r="J110" s="2">
        <f t="shared" si="3"/>
        <v>5.2700000000000005</v>
      </c>
      <c r="K110" s="2">
        <f t="shared" si="4"/>
        <v>94860.000000000015</v>
      </c>
      <c r="L110" s="2">
        <f t="shared" si="1"/>
        <v>11465140</v>
      </c>
    </row>
    <row r="111" spans="1:12" ht="15.75" customHeight="1" x14ac:dyDescent="0.3">
      <c r="A111" s="1" t="s">
        <v>20</v>
      </c>
      <c r="B111" s="1" t="s">
        <v>18</v>
      </c>
      <c r="C111" s="1">
        <v>3329.27</v>
      </c>
      <c r="D111" s="1">
        <v>2022</v>
      </c>
      <c r="E111" s="1">
        <f t="shared" ca="1" si="0"/>
        <v>0.90712307205944664</v>
      </c>
      <c r="F111" s="2">
        <v>150000</v>
      </c>
      <c r="G111" s="2">
        <f t="shared" si="2"/>
        <v>499390500000</v>
      </c>
      <c r="H111" s="4">
        <v>40</v>
      </c>
      <c r="I111" s="1">
        <v>17800</v>
      </c>
      <c r="J111" s="2">
        <f t="shared" si="3"/>
        <v>133170.79999999999</v>
      </c>
      <c r="K111" s="2">
        <f t="shared" si="4"/>
        <v>2370440240</v>
      </c>
      <c r="L111" s="2">
        <f t="shared" si="1"/>
        <v>497020059760</v>
      </c>
    </row>
    <row r="112" spans="1:12" ht="15.75" customHeight="1" x14ac:dyDescent="0.3">
      <c r="A112" s="1" t="s">
        <v>17</v>
      </c>
      <c r="B112" s="1" t="s">
        <v>48</v>
      </c>
      <c r="C112" s="1">
        <v>227.32</v>
      </c>
      <c r="D112" s="1">
        <v>2020</v>
      </c>
      <c r="E112" s="1">
        <f t="shared" ca="1" si="0"/>
        <v>0.18868221968881793</v>
      </c>
      <c r="F112" s="2">
        <v>130000</v>
      </c>
      <c r="G112" s="2">
        <f t="shared" si="2"/>
        <v>29551600000</v>
      </c>
      <c r="H112" s="4">
        <v>35</v>
      </c>
      <c r="I112" s="1">
        <v>17000</v>
      </c>
      <c r="J112" s="2">
        <f t="shared" si="3"/>
        <v>7956.2</v>
      </c>
      <c r="K112" s="2">
        <f t="shared" si="4"/>
        <v>135255400</v>
      </c>
      <c r="L112" s="2">
        <f t="shared" si="1"/>
        <v>29416344600</v>
      </c>
    </row>
    <row r="113" spans="1:12" ht="15.75" customHeight="1" x14ac:dyDescent="0.3">
      <c r="A113" s="1" t="s">
        <v>20</v>
      </c>
      <c r="B113" s="1" t="s">
        <v>35</v>
      </c>
      <c r="C113" s="1">
        <v>2306.54</v>
      </c>
      <c r="D113" s="1">
        <v>2021</v>
      </c>
      <c r="E113" s="1">
        <f t="shared" ca="1" si="0"/>
        <v>0.56568082197367353</v>
      </c>
      <c r="F113" s="2">
        <v>150000</v>
      </c>
      <c r="G113" s="2">
        <f t="shared" si="2"/>
        <v>345981000000</v>
      </c>
      <c r="H113" s="4">
        <v>39</v>
      </c>
      <c r="I113" s="1">
        <v>17800</v>
      </c>
      <c r="J113" s="2">
        <f t="shared" si="3"/>
        <v>89955.06</v>
      </c>
      <c r="K113" s="2">
        <f t="shared" si="4"/>
        <v>1601200068</v>
      </c>
      <c r="L113" s="2">
        <f t="shared" si="1"/>
        <v>344379799932</v>
      </c>
    </row>
    <row r="114" spans="1:12" ht="15.75" customHeight="1" x14ac:dyDescent="0.3">
      <c r="A114" s="1" t="s">
        <v>20</v>
      </c>
      <c r="B114" s="1" t="s">
        <v>39</v>
      </c>
      <c r="C114" s="1">
        <v>4694.03</v>
      </c>
      <c r="D114" s="1">
        <v>2022</v>
      </c>
      <c r="E114" s="1">
        <f t="shared" ca="1" si="0"/>
        <v>0.99533027214454739</v>
      </c>
      <c r="F114" s="2">
        <v>150000</v>
      </c>
      <c r="G114" s="2">
        <f t="shared" si="2"/>
        <v>704104500000</v>
      </c>
      <c r="H114" s="4">
        <v>40</v>
      </c>
      <c r="I114" s="1">
        <v>17800</v>
      </c>
      <c r="J114" s="2">
        <f t="shared" si="3"/>
        <v>187761.19999999998</v>
      </c>
      <c r="K114" s="2">
        <f t="shared" si="4"/>
        <v>3342149359.9999995</v>
      </c>
      <c r="L114" s="2">
        <f t="shared" si="1"/>
        <v>700762350640</v>
      </c>
    </row>
    <row r="115" spans="1:12" ht="15.75" customHeight="1" x14ac:dyDescent="0.3">
      <c r="A115" s="1" t="s">
        <v>15</v>
      </c>
      <c r="B115" s="1" t="s">
        <v>42</v>
      </c>
      <c r="C115" s="1">
        <v>40154.99</v>
      </c>
      <c r="D115" s="1">
        <v>2022</v>
      </c>
      <c r="E115" s="1">
        <f t="shared" ca="1" si="0"/>
        <v>0.95816849131746418</v>
      </c>
      <c r="F115" s="2">
        <v>34000</v>
      </c>
      <c r="G115" s="2">
        <f t="shared" si="2"/>
        <v>1365269660000</v>
      </c>
      <c r="H115" s="4">
        <v>20</v>
      </c>
      <c r="I115" s="1">
        <v>9000</v>
      </c>
      <c r="J115" s="2">
        <f t="shared" si="3"/>
        <v>803099.79999999993</v>
      </c>
      <c r="K115" s="2">
        <f t="shared" si="4"/>
        <v>7227898199.999999</v>
      </c>
      <c r="L115" s="2">
        <f t="shared" si="1"/>
        <v>1358041761800</v>
      </c>
    </row>
    <row r="116" spans="1:12" ht="15.75" customHeight="1" x14ac:dyDescent="0.3">
      <c r="A116" s="1" t="s">
        <v>24</v>
      </c>
      <c r="B116" s="1" t="s">
        <v>34</v>
      </c>
      <c r="C116" s="1">
        <v>20.66</v>
      </c>
      <c r="D116" s="1">
        <v>2021</v>
      </c>
      <c r="E116" s="1">
        <f t="shared" ca="1" si="0"/>
        <v>0.52086101079701264</v>
      </c>
      <c r="F116" s="2">
        <v>68000</v>
      </c>
      <c r="G116" s="2">
        <f t="shared" si="2"/>
        <v>1404880000</v>
      </c>
      <c r="H116" s="4">
        <v>33</v>
      </c>
      <c r="I116" s="1">
        <v>18000</v>
      </c>
      <c r="J116" s="2">
        <f t="shared" si="3"/>
        <v>681.78</v>
      </c>
      <c r="K116" s="2">
        <f t="shared" si="4"/>
        <v>12272040</v>
      </c>
      <c r="L116" s="2">
        <f t="shared" si="1"/>
        <v>1392607960</v>
      </c>
    </row>
    <row r="117" spans="1:12" ht="15.75" customHeight="1" x14ac:dyDescent="0.3">
      <c r="A117" s="1" t="s">
        <v>20</v>
      </c>
      <c r="B117" s="1" t="s">
        <v>21</v>
      </c>
      <c r="C117" s="1">
        <v>59952.11</v>
      </c>
      <c r="D117" s="1">
        <v>2020</v>
      </c>
      <c r="E117" s="1">
        <f t="shared" ca="1" si="0"/>
        <v>6.7225121010280775E-2</v>
      </c>
      <c r="F117" s="2">
        <v>150000</v>
      </c>
      <c r="G117" s="2">
        <f t="shared" si="2"/>
        <v>8992816500000</v>
      </c>
      <c r="H117" s="4">
        <v>38</v>
      </c>
      <c r="I117" s="1">
        <v>17800</v>
      </c>
      <c r="J117" s="2">
        <f t="shared" si="3"/>
        <v>2278180.1800000002</v>
      </c>
      <c r="K117" s="2">
        <f t="shared" si="4"/>
        <v>40551607204</v>
      </c>
      <c r="L117" s="2">
        <f t="shared" si="1"/>
        <v>8952264892796</v>
      </c>
    </row>
    <row r="118" spans="1:12" ht="15.75" customHeight="1" x14ac:dyDescent="0.3">
      <c r="A118" s="1" t="s">
        <v>13</v>
      </c>
      <c r="B118" s="1" t="s">
        <v>25</v>
      </c>
      <c r="C118" s="1">
        <v>5316.2</v>
      </c>
      <c r="D118" s="1">
        <v>2022</v>
      </c>
      <c r="E118" s="1">
        <f t="shared" ca="1" si="0"/>
        <v>0.3505535718110685</v>
      </c>
      <c r="F118" s="2">
        <v>50000</v>
      </c>
      <c r="G118" s="2">
        <f t="shared" si="2"/>
        <v>265810000000</v>
      </c>
      <c r="H118" s="4">
        <v>29</v>
      </c>
      <c r="I118" s="1">
        <v>9800</v>
      </c>
      <c r="J118" s="2">
        <f t="shared" si="3"/>
        <v>154169.79999999999</v>
      </c>
      <c r="K118" s="2">
        <f t="shared" si="4"/>
        <v>1510864040</v>
      </c>
      <c r="L118" s="2">
        <f t="shared" si="1"/>
        <v>264299135960</v>
      </c>
    </row>
    <row r="119" spans="1:12" ht="15.75" customHeight="1" x14ac:dyDescent="0.3">
      <c r="A119" s="1" t="s">
        <v>17</v>
      </c>
      <c r="B119" s="1" t="s">
        <v>31</v>
      </c>
      <c r="C119" s="1">
        <v>653.48</v>
      </c>
      <c r="D119" s="1">
        <v>2022</v>
      </c>
      <c r="E119" s="1">
        <f t="shared" ca="1" si="0"/>
        <v>0.20808393214355325</v>
      </c>
      <c r="F119" s="2">
        <v>130000</v>
      </c>
      <c r="G119" s="2">
        <f t="shared" si="2"/>
        <v>84952400000</v>
      </c>
      <c r="H119" s="4">
        <v>37</v>
      </c>
      <c r="I119" s="1">
        <v>17000</v>
      </c>
      <c r="J119" s="2">
        <f t="shared" si="3"/>
        <v>24178.760000000002</v>
      </c>
      <c r="K119" s="2">
        <f t="shared" si="4"/>
        <v>411038920.00000006</v>
      </c>
      <c r="L119" s="2">
        <f t="shared" si="1"/>
        <v>84541361080</v>
      </c>
    </row>
    <row r="120" spans="1:12" ht="15.75" customHeight="1" x14ac:dyDescent="0.3">
      <c r="A120" s="1" t="s">
        <v>15</v>
      </c>
      <c r="B120" s="1" t="s">
        <v>28</v>
      </c>
      <c r="C120" s="1">
        <v>160.21</v>
      </c>
      <c r="D120" s="1">
        <v>2022</v>
      </c>
      <c r="E120" s="1">
        <f t="shared" ca="1" si="0"/>
        <v>0.84737018597669989</v>
      </c>
      <c r="F120" s="2">
        <v>34000</v>
      </c>
      <c r="G120" s="2">
        <f t="shared" si="2"/>
        <v>5447140000</v>
      </c>
      <c r="H120" s="4">
        <v>20</v>
      </c>
      <c r="I120" s="1">
        <v>9000</v>
      </c>
      <c r="J120" s="2">
        <f t="shared" si="3"/>
        <v>3204.2000000000003</v>
      </c>
      <c r="K120" s="2">
        <f t="shared" si="4"/>
        <v>28837800.000000004</v>
      </c>
      <c r="L120" s="2">
        <f t="shared" si="1"/>
        <v>5418302200</v>
      </c>
    </row>
    <row r="121" spans="1:12" ht="15.75" customHeight="1" x14ac:dyDescent="0.3">
      <c r="A121" s="1" t="s">
        <v>15</v>
      </c>
      <c r="B121" s="1" t="s">
        <v>36</v>
      </c>
      <c r="C121" s="1">
        <v>318552.40000000002</v>
      </c>
      <c r="D121" s="1">
        <v>2022</v>
      </c>
      <c r="E121" s="1">
        <f t="shared" ca="1" si="0"/>
        <v>0.75105364563045063</v>
      </c>
      <c r="F121" s="2">
        <v>34000</v>
      </c>
      <c r="G121" s="2">
        <f t="shared" si="2"/>
        <v>10830781600000</v>
      </c>
      <c r="H121" s="4">
        <v>20</v>
      </c>
      <c r="I121" s="1">
        <v>9000</v>
      </c>
      <c r="J121" s="2">
        <f t="shared" si="3"/>
        <v>6371048</v>
      </c>
      <c r="K121" s="2">
        <f t="shared" si="4"/>
        <v>57339432000</v>
      </c>
      <c r="L121" s="2">
        <f t="shared" si="1"/>
        <v>10773442168000</v>
      </c>
    </row>
    <row r="122" spans="1:12" ht="15.75" customHeight="1" x14ac:dyDescent="0.3">
      <c r="A122" s="1" t="s">
        <v>15</v>
      </c>
      <c r="B122" s="1" t="s">
        <v>49</v>
      </c>
      <c r="C122" s="1">
        <v>1406.31</v>
      </c>
      <c r="D122" s="1">
        <v>2022</v>
      </c>
      <c r="E122" s="1">
        <f t="shared" ca="1" si="0"/>
        <v>0.98286628751999949</v>
      </c>
      <c r="F122" s="2">
        <v>34000</v>
      </c>
      <c r="G122" s="2">
        <f t="shared" si="2"/>
        <v>47814540000</v>
      </c>
      <c r="H122" s="4">
        <v>20</v>
      </c>
      <c r="I122" s="1">
        <v>9000</v>
      </c>
      <c r="J122" s="2">
        <f t="shared" si="3"/>
        <v>28126.199999999997</v>
      </c>
      <c r="K122" s="2">
        <f t="shared" si="4"/>
        <v>253135799.99999997</v>
      </c>
      <c r="L122" s="2">
        <f t="shared" si="1"/>
        <v>47561404200</v>
      </c>
    </row>
    <row r="123" spans="1:12" ht="15.75" customHeight="1" x14ac:dyDescent="0.3">
      <c r="A123" s="1" t="s">
        <v>13</v>
      </c>
      <c r="B123" s="1" t="s">
        <v>50</v>
      </c>
      <c r="C123" s="1">
        <v>7816.08</v>
      </c>
      <c r="D123" s="1">
        <v>2021</v>
      </c>
      <c r="E123" s="1">
        <f t="shared" ca="1" si="0"/>
        <v>0.39855921315038778</v>
      </c>
      <c r="F123" s="2">
        <v>50000</v>
      </c>
      <c r="G123" s="2">
        <f t="shared" si="2"/>
        <v>390804000000</v>
      </c>
      <c r="H123" s="4">
        <v>26</v>
      </c>
      <c r="I123" s="1">
        <v>9800</v>
      </c>
      <c r="J123" s="2">
        <f t="shared" si="3"/>
        <v>203218.08</v>
      </c>
      <c r="K123" s="2">
        <f t="shared" si="4"/>
        <v>1991537183.9999998</v>
      </c>
      <c r="L123" s="2">
        <f t="shared" si="1"/>
        <v>388812462816</v>
      </c>
    </row>
    <row r="124" spans="1:12" ht="15.75" customHeight="1" x14ac:dyDescent="0.3">
      <c r="A124" s="1" t="s">
        <v>17</v>
      </c>
      <c r="B124" s="1" t="s">
        <v>50</v>
      </c>
      <c r="C124" s="1">
        <v>2664.59</v>
      </c>
      <c r="D124" s="1">
        <v>2020</v>
      </c>
      <c r="E124" s="1">
        <f t="shared" ca="1" si="0"/>
        <v>0.51133181398238303</v>
      </c>
      <c r="F124" s="2">
        <v>130000</v>
      </c>
      <c r="G124" s="2">
        <f t="shared" si="2"/>
        <v>346396700000</v>
      </c>
      <c r="H124" s="4">
        <v>35</v>
      </c>
      <c r="I124" s="1">
        <v>17000</v>
      </c>
      <c r="J124" s="2">
        <f t="shared" si="3"/>
        <v>93260.650000000009</v>
      </c>
      <c r="K124" s="2">
        <f t="shared" si="4"/>
        <v>1585431050.0000002</v>
      </c>
      <c r="L124" s="2">
        <f t="shared" si="1"/>
        <v>344811268950</v>
      </c>
    </row>
    <row r="125" spans="1:12" ht="15.75" customHeight="1" x14ac:dyDescent="0.3">
      <c r="A125" s="1" t="s">
        <v>24</v>
      </c>
      <c r="B125" s="1" t="s">
        <v>41</v>
      </c>
      <c r="C125" s="1">
        <v>23.25</v>
      </c>
      <c r="D125" s="1">
        <v>2022</v>
      </c>
      <c r="E125" s="1">
        <f t="shared" ca="1" si="0"/>
        <v>0.92438748869608134</v>
      </c>
      <c r="F125" s="2">
        <v>68000</v>
      </c>
      <c r="G125" s="2">
        <f t="shared" si="2"/>
        <v>1581000000</v>
      </c>
      <c r="H125" s="4">
        <v>28</v>
      </c>
      <c r="I125" s="1">
        <v>18000</v>
      </c>
      <c r="J125" s="2">
        <f t="shared" si="3"/>
        <v>651</v>
      </c>
      <c r="K125" s="2">
        <f t="shared" si="4"/>
        <v>11718000</v>
      </c>
      <c r="L125" s="2">
        <f t="shared" si="1"/>
        <v>1569282000</v>
      </c>
    </row>
    <row r="126" spans="1:12" ht="15.75" customHeight="1" x14ac:dyDescent="0.3">
      <c r="A126" s="1" t="s">
        <v>13</v>
      </c>
      <c r="B126" s="1" t="s">
        <v>51</v>
      </c>
      <c r="C126" s="1">
        <v>2331.3200000000002</v>
      </c>
      <c r="D126" s="1">
        <v>2020</v>
      </c>
      <c r="E126" s="1">
        <f t="shared" ca="1" si="0"/>
        <v>0.56531714527653765</v>
      </c>
      <c r="F126" s="2">
        <v>50000</v>
      </c>
      <c r="G126" s="2">
        <f t="shared" si="2"/>
        <v>116566000000</v>
      </c>
      <c r="H126" s="4">
        <v>27</v>
      </c>
      <c r="I126" s="1">
        <v>9800</v>
      </c>
      <c r="J126" s="2">
        <f t="shared" si="3"/>
        <v>62945.640000000007</v>
      </c>
      <c r="K126" s="2">
        <f t="shared" si="4"/>
        <v>616867272.00000012</v>
      </c>
      <c r="L126" s="2">
        <f t="shared" si="1"/>
        <v>115949132728</v>
      </c>
    </row>
    <row r="127" spans="1:12" ht="15.75" customHeight="1" x14ac:dyDescent="0.3">
      <c r="A127" s="1" t="s">
        <v>15</v>
      </c>
      <c r="B127" s="1" t="s">
        <v>27</v>
      </c>
      <c r="C127" s="1">
        <v>8436.25</v>
      </c>
      <c r="D127" s="1">
        <v>2020</v>
      </c>
      <c r="E127" s="1">
        <f t="shared" ca="1" si="0"/>
        <v>0.97015237432826285</v>
      </c>
      <c r="F127" s="2">
        <v>34000</v>
      </c>
      <c r="G127" s="2">
        <f t="shared" si="2"/>
        <v>286832500000</v>
      </c>
      <c r="H127" s="4">
        <v>25</v>
      </c>
      <c r="I127" s="1">
        <v>9000</v>
      </c>
      <c r="J127" s="2">
        <f t="shared" si="3"/>
        <v>210906.25</v>
      </c>
      <c r="K127" s="2">
        <f t="shared" si="4"/>
        <v>1898156250</v>
      </c>
      <c r="L127" s="2">
        <f t="shared" si="1"/>
        <v>284934343750</v>
      </c>
    </row>
    <row r="128" spans="1:12" ht="15.75" customHeight="1" x14ac:dyDescent="0.3">
      <c r="A128" s="1" t="s">
        <v>17</v>
      </c>
      <c r="B128" s="1" t="s">
        <v>35</v>
      </c>
      <c r="C128" s="1">
        <v>254.3</v>
      </c>
      <c r="D128" s="1">
        <v>2021</v>
      </c>
      <c r="E128" s="1">
        <f t="shared" ca="1" si="0"/>
        <v>0.77085069913455306</v>
      </c>
      <c r="F128" s="2">
        <v>130000</v>
      </c>
      <c r="G128" s="2">
        <f t="shared" si="2"/>
        <v>33059000000</v>
      </c>
      <c r="H128" s="4">
        <v>32</v>
      </c>
      <c r="I128" s="1">
        <v>17000</v>
      </c>
      <c r="J128" s="2">
        <f t="shared" si="3"/>
        <v>8137.6</v>
      </c>
      <c r="K128" s="2">
        <f t="shared" si="4"/>
        <v>138339200</v>
      </c>
      <c r="L128" s="2">
        <f t="shared" si="1"/>
        <v>32920660800</v>
      </c>
    </row>
    <row r="129" spans="1:12" ht="15.75" customHeight="1" x14ac:dyDescent="0.3">
      <c r="A129" s="1" t="s">
        <v>24</v>
      </c>
      <c r="B129" s="1" t="s">
        <v>31</v>
      </c>
      <c r="C129" s="1">
        <v>111.78</v>
      </c>
      <c r="D129" s="1">
        <v>2021</v>
      </c>
      <c r="E129" s="1">
        <f t="shared" ca="1" si="0"/>
        <v>0.95347488371407896</v>
      </c>
      <c r="F129" s="2">
        <v>68000</v>
      </c>
      <c r="G129" s="2">
        <f t="shared" si="2"/>
        <v>7601040000</v>
      </c>
      <c r="H129" s="4">
        <v>33</v>
      </c>
      <c r="I129" s="1">
        <v>18000</v>
      </c>
      <c r="J129" s="2">
        <f t="shared" si="3"/>
        <v>3688.7400000000002</v>
      </c>
      <c r="K129" s="2">
        <f t="shared" si="4"/>
        <v>66397320.000000007</v>
      </c>
      <c r="L129" s="2">
        <f t="shared" si="1"/>
        <v>7534642680</v>
      </c>
    </row>
    <row r="130" spans="1:12" ht="15.75" customHeight="1" x14ac:dyDescent="0.3">
      <c r="A130" s="1" t="s">
        <v>15</v>
      </c>
      <c r="B130" s="1" t="s">
        <v>25</v>
      </c>
      <c r="C130" s="1">
        <v>2134.85</v>
      </c>
      <c r="D130" s="1">
        <v>2021</v>
      </c>
      <c r="E130" s="1">
        <f t="shared" ca="1" si="0"/>
        <v>0.75093024483704363</v>
      </c>
      <c r="F130" s="2">
        <v>34000</v>
      </c>
      <c r="G130" s="2">
        <f t="shared" si="2"/>
        <v>72584900000</v>
      </c>
      <c r="H130" s="4">
        <v>21</v>
      </c>
      <c r="I130" s="1">
        <v>9000</v>
      </c>
      <c r="J130" s="2">
        <f t="shared" si="3"/>
        <v>44831.85</v>
      </c>
      <c r="K130" s="2">
        <f t="shared" si="4"/>
        <v>403486650</v>
      </c>
      <c r="L130" s="2">
        <f t="shared" si="1"/>
        <v>72181413350</v>
      </c>
    </row>
    <row r="131" spans="1:12" ht="15.75" customHeight="1" x14ac:dyDescent="0.3">
      <c r="A131" s="1" t="s">
        <v>20</v>
      </c>
      <c r="B131" s="1" t="s">
        <v>42</v>
      </c>
      <c r="C131" s="1">
        <v>11310.36</v>
      </c>
      <c r="D131" s="1">
        <v>2020</v>
      </c>
      <c r="E131" s="1">
        <f t="shared" ca="1" si="0"/>
        <v>0.27823686804030157</v>
      </c>
      <c r="F131" s="2">
        <v>150000</v>
      </c>
      <c r="G131" s="2">
        <f t="shared" si="2"/>
        <v>1696554000000</v>
      </c>
      <c r="H131" s="4">
        <v>38</v>
      </c>
      <c r="I131" s="1">
        <v>17800</v>
      </c>
      <c r="J131" s="2">
        <f t="shared" si="3"/>
        <v>429793.68000000005</v>
      </c>
      <c r="K131" s="2">
        <f t="shared" si="4"/>
        <v>7650327504.000001</v>
      </c>
      <c r="L131" s="2">
        <f t="shared" si="1"/>
        <v>1688903672496</v>
      </c>
    </row>
    <row r="132" spans="1:12" ht="15.75" customHeight="1" x14ac:dyDescent="0.3">
      <c r="A132" s="1" t="s">
        <v>24</v>
      </c>
      <c r="B132" s="1" t="s">
        <v>50</v>
      </c>
      <c r="C132" s="1">
        <v>156.4</v>
      </c>
      <c r="D132" s="1">
        <v>2022</v>
      </c>
      <c r="E132" s="1">
        <f t="shared" ca="1" si="0"/>
        <v>0.6566333328993873</v>
      </c>
      <c r="F132" s="2">
        <v>68000</v>
      </c>
      <c r="G132" s="2">
        <f t="shared" si="2"/>
        <v>10635200000</v>
      </c>
      <c r="H132" s="4">
        <v>28</v>
      </c>
      <c r="I132" s="1">
        <v>18000</v>
      </c>
      <c r="J132" s="2">
        <f t="shared" si="3"/>
        <v>4379.2</v>
      </c>
      <c r="K132" s="2">
        <f t="shared" si="4"/>
        <v>78825600</v>
      </c>
      <c r="L132" s="2">
        <f t="shared" si="1"/>
        <v>10556374400</v>
      </c>
    </row>
    <row r="133" spans="1:12" ht="15.75" customHeight="1" x14ac:dyDescent="0.3">
      <c r="A133" s="1" t="s">
        <v>24</v>
      </c>
      <c r="B133" s="1" t="s">
        <v>39</v>
      </c>
      <c r="C133" s="1">
        <v>0</v>
      </c>
      <c r="D133" s="1">
        <v>2020</v>
      </c>
      <c r="E133" s="1">
        <f t="shared" ca="1" si="0"/>
        <v>0.38798803273994409</v>
      </c>
      <c r="F133" s="2">
        <v>68000</v>
      </c>
      <c r="G133" s="2">
        <f t="shared" si="2"/>
        <v>0</v>
      </c>
      <c r="H133" s="4">
        <v>31</v>
      </c>
      <c r="I133" s="1">
        <v>18000</v>
      </c>
      <c r="J133" s="2">
        <f t="shared" si="3"/>
        <v>0</v>
      </c>
      <c r="K133" s="2">
        <f t="shared" si="4"/>
        <v>0</v>
      </c>
      <c r="L133" s="2">
        <f t="shared" si="1"/>
        <v>0</v>
      </c>
    </row>
    <row r="134" spans="1:12" ht="15.75" customHeight="1" x14ac:dyDescent="0.3">
      <c r="A134" s="1" t="s">
        <v>20</v>
      </c>
      <c r="B134" s="1" t="s">
        <v>34</v>
      </c>
      <c r="C134" s="1">
        <v>20980.53</v>
      </c>
      <c r="D134" s="1">
        <v>2020</v>
      </c>
      <c r="E134" s="1">
        <f t="shared" ca="1" si="0"/>
        <v>0.72245756449841414</v>
      </c>
      <c r="F134" s="2">
        <v>150000</v>
      </c>
      <c r="G134" s="2">
        <f t="shared" si="2"/>
        <v>3147079500000</v>
      </c>
      <c r="H134" s="4">
        <v>38</v>
      </c>
      <c r="I134" s="1">
        <v>17800</v>
      </c>
      <c r="J134" s="2">
        <f t="shared" si="3"/>
        <v>797260.1399999999</v>
      </c>
      <c r="K134" s="2">
        <f t="shared" si="4"/>
        <v>14191230491.999998</v>
      </c>
      <c r="L134" s="2">
        <f t="shared" si="1"/>
        <v>3132888269508</v>
      </c>
    </row>
    <row r="135" spans="1:12" ht="15.75" customHeight="1" x14ac:dyDescent="0.3">
      <c r="A135" s="1" t="s">
        <v>20</v>
      </c>
      <c r="B135" s="1" t="s">
        <v>44</v>
      </c>
      <c r="C135" s="1">
        <v>3103.44</v>
      </c>
      <c r="D135" s="1">
        <v>2021</v>
      </c>
      <c r="E135" s="1">
        <f t="shared" ca="1" si="0"/>
        <v>0.44865645483120831</v>
      </c>
      <c r="F135" s="2">
        <v>150000</v>
      </c>
      <c r="G135" s="2">
        <f t="shared" si="2"/>
        <v>465516000000</v>
      </c>
      <c r="H135" s="4">
        <v>39</v>
      </c>
      <c r="I135" s="1">
        <v>17800</v>
      </c>
      <c r="J135" s="2">
        <f t="shared" si="3"/>
        <v>121034.16</v>
      </c>
      <c r="K135" s="2">
        <f t="shared" si="4"/>
        <v>2154408048</v>
      </c>
      <c r="L135" s="2">
        <f t="shared" si="1"/>
        <v>463361591952</v>
      </c>
    </row>
    <row r="136" spans="1:12" ht="15.75" customHeight="1" x14ac:dyDescent="0.3">
      <c r="A136" s="1" t="s">
        <v>13</v>
      </c>
      <c r="B136" s="1" t="s">
        <v>23</v>
      </c>
      <c r="C136" s="1">
        <v>73406.490000000005</v>
      </c>
      <c r="D136" s="1">
        <v>2020</v>
      </c>
      <c r="E136" s="1">
        <f t="shared" ca="1" si="0"/>
        <v>0.88804831454865463</v>
      </c>
      <c r="F136" s="2">
        <v>50000</v>
      </c>
      <c r="G136" s="2">
        <f t="shared" si="2"/>
        <v>3670324500000</v>
      </c>
      <c r="H136" s="4">
        <v>27</v>
      </c>
      <c r="I136" s="1">
        <v>9800</v>
      </c>
      <c r="J136" s="2">
        <f t="shared" si="3"/>
        <v>1981975.2300000002</v>
      </c>
      <c r="K136" s="2">
        <f t="shared" si="4"/>
        <v>19423357254.000004</v>
      </c>
      <c r="L136" s="2">
        <f t="shared" si="1"/>
        <v>3650901142746</v>
      </c>
    </row>
    <row r="137" spans="1:12" ht="15.75" customHeight="1" x14ac:dyDescent="0.3">
      <c r="A137" s="1" t="s">
        <v>13</v>
      </c>
      <c r="B137" s="1" t="s">
        <v>39</v>
      </c>
      <c r="C137" s="1">
        <v>1761.91</v>
      </c>
      <c r="D137" s="1">
        <v>2021</v>
      </c>
      <c r="E137" s="1">
        <f t="shared" ca="1" si="0"/>
        <v>0.83801430084488782</v>
      </c>
      <c r="F137" s="2">
        <v>50000</v>
      </c>
      <c r="G137" s="2">
        <f t="shared" si="2"/>
        <v>88095500000</v>
      </c>
      <c r="H137" s="4">
        <v>26</v>
      </c>
      <c r="I137" s="1">
        <v>9800</v>
      </c>
      <c r="J137" s="2">
        <f t="shared" si="3"/>
        <v>45809.66</v>
      </c>
      <c r="K137" s="2">
        <f t="shared" si="4"/>
        <v>448934668.00000006</v>
      </c>
      <c r="L137" s="2">
        <f t="shared" si="1"/>
        <v>87646565332</v>
      </c>
    </row>
    <row r="138" spans="1:12" ht="15.75" customHeight="1" x14ac:dyDescent="0.3">
      <c r="A138" s="1" t="s">
        <v>15</v>
      </c>
      <c r="B138" s="1" t="s">
        <v>29</v>
      </c>
      <c r="C138" s="1">
        <v>107288.18</v>
      </c>
      <c r="D138" s="1">
        <v>2020</v>
      </c>
      <c r="E138" s="1">
        <f t="shared" ca="1" si="0"/>
        <v>0.45154354089531457</v>
      </c>
      <c r="F138" s="2">
        <v>34000</v>
      </c>
      <c r="G138" s="2">
        <f t="shared" si="2"/>
        <v>3647798120000</v>
      </c>
      <c r="H138" s="4">
        <v>25</v>
      </c>
      <c r="I138" s="1">
        <v>9000</v>
      </c>
      <c r="J138" s="2">
        <f t="shared" si="3"/>
        <v>2682204.5</v>
      </c>
      <c r="K138" s="2">
        <f t="shared" si="4"/>
        <v>24139840500</v>
      </c>
      <c r="L138" s="2">
        <f t="shared" si="1"/>
        <v>3623658279500</v>
      </c>
    </row>
    <row r="139" spans="1:12" ht="15.75" customHeight="1" x14ac:dyDescent="0.3">
      <c r="A139" s="1" t="s">
        <v>13</v>
      </c>
      <c r="B139" s="1" t="s">
        <v>19</v>
      </c>
      <c r="C139" s="1">
        <v>41053.370000000003</v>
      </c>
      <c r="D139" s="1">
        <v>2021</v>
      </c>
      <c r="E139" s="1">
        <f t="shared" ca="1" si="0"/>
        <v>2.961740646626343E-2</v>
      </c>
      <c r="F139" s="2">
        <v>50000</v>
      </c>
      <c r="G139" s="2">
        <f t="shared" si="2"/>
        <v>2052668500000</v>
      </c>
      <c r="H139" s="4">
        <v>26</v>
      </c>
      <c r="I139" s="1">
        <v>9800</v>
      </c>
      <c r="J139" s="2">
        <f t="shared" si="3"/>
        <v>1067387.6200000001</v>
      </c>
      <c r="K139" s="2">
        <f t="shared" si="4"/>
        <v>10460398676.000002</v>
      </c>
      <c r="L139" s="2">
        <f t="shared" si="1"/>
        <v>2042208101324</v>
      </c>
    </row>
    <row r="140" spans="1:12" ht="15.75" customHeight="1" x14ac:dyDescent="0.3">
      <c r="A140" s="1" t="s">
        <v>15</v>
      </c>
      <c r="B140" s="1" t="s">
        <v>30</v>
      </c>
      <c r="C140" s="1">
        <v>0</v>
      </c>
      <c r="D140" s="1">
        <v>2021</v>
      </c>
      <c r="E140" s="1">
        <f t="shared" ca="1" si="0"/>
        <v>0.68187569263000836</v>
      </c>
      <c r="F140" s="2">
        <v>34000</v>
      </c>
      <c r="G140" s="2">
        <f t="shared" si="2"/>
        <v>0</v>
      </c>
      <c r="H140" s="4">
        <v>21</v>
      </c>
      <c r="I140" s="1">
        <v>9000</v>
      </c>
      <c r="J140" s="2">
        <f t="shared" si="3"/>
        <v>0</v>
      </c>
      <c r="K140" s="2">
        <f t="shared" si="4"/>
        <v>0</v>
      </c>
      <c r="L140" s="2">
        <f t="shared" si="1"/>
        <v>0</v>
      </c>
    </row>
    <row r="141" spans="1:12" ht="15.75" customHeight="1" x14ac:dyDescent="0.3">
      <c r="A141" s="1" t="s">
        <v>15</v>
      </c>
      <c r="B141" s="1" t="s">
        <v>29</v>
      </c>
      <c r="C141" s="1">
        <v>129785.12</v>
      </c>
      <c r="D141" s="1">
        <v>2021</v>
      </c>
      <c r="E141" s="1">
        <f t="shared" ca="1" si="0"/>
        <v>0.58923093475884303</v>
      </c>
      <c r="F141" s="2">
        <v>34000</v>
      </c>
      <c r="G141" s="2">
        <f t="shared" si="2"/>
        <v>4412694080000</v>
      </c>
      <c r="H141" s="4">
        <v>21</v>
      </c>
      <c r="I141" s="1">
        <v>9000</v>
      </c>
      <c r="J141" s="2">
        <f t="shared" si="3"/>
        <v>2725487.52</v>
      </c>
      <c r="K141" s="2">
        <f t="shared" si="4"/>
        <v>24529387680</v>
      </c>
      <c r="L141" s="2">
        <f t="shared" si="1"/>
        <v>4388164692320</v>
      </c>
    </row>
    <row r="142" spans="1:12" ht="15.75" customHeight="1" x14ac:dyDescent="0.3">
      <c r="A142" s="1" t="s">
        <v>17</v>
      </c>
      <c r="B142" s="1" t="s">
        <v>34</v>
      </c>
      <c r="C142" s="1">
        <v>682.86</v>
      </c>
      <c r="D142" s="1">
        <v>2020</v>
      </c>
      <c r="E142" s="1">
        <f t="shared" ca="1" si="0"/>
        <v>4.8750887559944167E-2</v>
      </c>
      <c r="F142" s="2">
        <v>130000</v>
      </c>
      <c r="G142" s="2">
        <f t="shared" si="2"/>
        <v>88771800000</v>
      </c>
      <c r="H142" s="4">
        <v>35</v>
      </c>
      <c r="I142" s="1">
        <v>17000</v>
      </c>
      <c r="J142" s="2">
        <f t="shared" si="3"/>
        <v>23900.100000000002</v>
      </c>
      <c r="K142" s="2">
        <f t="shared" si="4"/>
        <v>406301700.00000006</v>
      </c>
      <c r="L142" s="2">
        <f t="shared" si="1"/>
        <v>88365498300</v>
      </c>
    </row>
    <row r="143" spans="1:12" ht="15.75" customHeight="1" x14ac:dyDescent="0.3">
      <c r="A143" s="1" t="s">
        <v>24</v>
      </c>
      <c r="B143" s="1" t="s">
        <v>40</v>
      </c>
      <c r="C143" s="1">
        <v>72.52</v>
      </c>
      <c r="D143" s="1">
        <v>2021</v>
      </c>
      <c r="E143" s="1">
        <f t="shared" ca="1" si="0"/>
        <v>0.61194908962135441</v>
      </c>
      <c r="F143" s="2">
        <v>68000</v>
      </c>
      <c r="G143" s="2">
        <f t="shared" si="2"/>
        <v>4931360000</v>
      </c>
      <c r="H143" s="4">
        <v>33</v>
      </c>
      <c r="I143" s="1">
        <v>18000</v>
      </c>
      <c r="J143" s="2">
        <f t="shared" si="3"/>
        <v>2393.16</v>
      </c>
      <c r="K143" s="2">
        <f t="shared" si="4"/>
        <v>43076880</v>
      </c>
      <c r="L143" s="2">
        <f t="shared" si="1"/>
        <v>4888283120</v>
      </c>
    </row>
    <row r="144" spans="1:12" ht="15.75" customHeight="1" x14ac:dyDescent="0.3">
      <c r="A144" s="1" t="s">
        <v>13</v>
      </c>
      <c r="B144" s="1" t="s">
        <v>46</v>
      </c>
      <c r="C144" s="1">
        <v>3498.78</v>
      </c>
      <c r="D144" s="1">
        <v>2021</v>
      </c>
      <c r="E144" s="1">
        <f t="shared" ca="1" si="0"/>
        <v>0.32974541256828682</v>
      </c>
      <c r="F144" s="2">
        <v>50000</v>
      </c>
      <c r="G144" s="2">
        <f t="shared" si="2"/>
        <v>174939000000</v>
      </c>
      <c r="H144" s="4">
        <v>26</v>
      </c>
      <c r="I144" s="1">
        <v>9800</v>
      </c>
      <c r="J144" s="2">
        <f t="shared" si="3"/>
        <v>90968.28</v>
      </c>
      <c r="K144" s="2">
        <f t="shared" si="4"/>
        <v>891489144</v>
      </c>
      <c r="L144" s="2">
        <f t="shared" si="1"/>
        <v>174047510856</v>
      </c>
    </row>
    <row r="145" spans="1:12" ht="15.75" customHeight="1" x14ac:dyDescent="0.3">
      <c r="A145" s="1" t="s">
        <v>17</v>
      </c>
      <c r="B145" s="1" t="s">
        <v>22</v>
      </c>
      <c r="C145" s="1">
        <v>60.71</v>
      </c>
      <c r="D145" s="1">
        <v>2020</v>
      </c>
      <c r="E145" s="1">
        <f t="shared" ca="1" si="0"/>
        <v>0.16946845324367577</v>
      </c>
      <c r="F145" s="2">
        <v>130000</v>
      </c>
      <c r="G145" s="2">
        <f t="shared" si="2"/>
        <v>7892300000</v>
      </c>
      <c r="H145" s="4">
        <v>35</v>
      </c>
      <c r="I145" s="1">
        <v>17000</v>
      </c>
      <c r="J145" s="2">
        <f t="shared" si="3"/>
        <v>2124.85</v>
      </c>
      <c r="K145" s="2">
        <f t="shared" si="4"/>
        <v>36122450</v>
      </c>
      <c r="L145" s="2">
        <f t="shared" si="1"/>
        <v>7856177550</v>
      </c>
    </row>
    <row r="146" spans="1:12" ht="15.75" customHeight="1" x14ac:dyDescent="0.3">
      <c r="A146" s="1" t="s">
        <v>13</v>
      </c>
      <c r="B146" s="1" t="s">
        <v>50</v>
      </c>
      <c r="C146" s="1">
        <v>8311.4500000000007</v>
      </c>
      <c r="D146" s="1">
        <v>2022</v>
      </c>
      <c r="E146" s="1">
        <f t="shared" ca="1" si="0"/>
        <v>0.95667229702636891</v>
      </c>
      <c r="F146" s="2">
        <v>50000</v>
      </c>
      <c r="G146" s="2">
        <f t="shared" si="2"/>
        <v>415572500000.00006</v>
      </c>
      <c r="H146" s="4">
        <v>29</v>
      </c>
      <c r="I146" s="1">
        <v>9800</v>
      </c>
      <c r="J146" s="2">
        <f t="shared" si="3"/>
        <v>241032.05000000002</v>
      </c>
      <c r="K146" s="2">
        <f t="shared" si="4"/>
        <v>2362114090</v>
      </c>
      <c r="L146" s="2">
        <f t="shared" si="1"/>
        <v>413210385910.00006</v>
      </c>
    </row>
    <row r="147" spans="1:12" ht="15.75" customHeight="1" x14ac:dyDescent="0.3">
      <c r="A147" s="1" t="s">
        <v>13</v>
      </c>
      <c r="B147" s="1" t="s">
        <v>44</v>
      </c>
      <c r="C147" s="1">
        <v>1643.35</v>
      </c>
      <c r="D147" s="1">
        <v>2020</v>
      </c>
      <c r="E147" s="1">
        <f t="shared" ca="1" si="0"/>
        <v>0.43977038728255846</v>
      </c>
      <c r="F147" s="2">
        <v>50000</v>
      </c>
      <c r="G147" s="2">
        <f t="shared" si="2"/>
        <v>82167500000</v>
      </c>
      <c r="H147" s="4">
        <v>27</v>
      </c>
      <c r="I147" s="1">
        <v>9800</v>
      </c>
      <c r="J147" s="2">
        <f t="shared" si="3"/>
        <v>44370.45</v>
      </c>
      <c r="K147" s="2">
        <f t="shared" si="4"/>
        <v>434830410</v>
      </c>
      <c r="L147" s="2">
        <f t="shared" si="1"/>
        <v>81732669590</v>
      </c>
    </row>
    <row r="148" spans="1:12" ht="15.75" customHeight="1" x14ac:dyDescent="0.3">
      <c r="A148" s="1" t="s">
        <v>13</v>
      </c>
      <c r="B148" s="1" t="s">
        <v>43</v>
      </c>
      <c r="C148" s="1">
        <v>23392.240000000002</v>
      </c>
      <c r="D148" s="1">
        <v>2022</v>
      </c>
      <c r="E148" s="1">
        <f t="shared" ca="1" si="0"/>
        <v>0.40797858626766526</v>
      </c>
      <c r="F148" s="2">
        <v>50000</v>
      </c>
      <c r="G148" s="2">
        <f t="shared" si="2"/>
        <v>1169612000000</v>
      </c>
      <c r="H148" s="4">
        <v>29</v>
      </c>
      <c r="I148" s="1">
        <v>9800</v>
      </c>
      <c r="J148" s="2">
        <f t="shared" si="3"/>
        <v>678374.96000000008</v>
      </c>
      <c r="K148" s="2">
        <f t="shared" si="4"/>
        <v>6648074608.000001</v>
      </c>
      <c r="L148" s="2">
        <f t="shared" si="1"/>
        <v>1162963925392</v>
      </c>
    </row>
    <row r="149" spans="1:12" ht="15.75" customHeight="1" x14ac:dyDescent="0.3">
      <c r="A149" s="1" t="s">
        <v>13</v>
      </c>
      <c r="B149" s="1" t="s">
        <v>46</v>
      </c>
      <c r="C149" s="1">
        <v>3503.32</v>
      </c>
      <c r="D149" s="1">
        <v>2022</v>
      </c>
      <c r="E149" s="1">
        <f t="shared" ca="1" si="0"/>
        <v>0.42675163836898378</v>
      </c>
      <c r="F149" s="2">
        <v>50000</v>
      </c>
      <c r="G149" s="2">
        <f t="shared" si="2"/>
        <v>175166000000</v>
      </c>
      <c r="H149" s="4">
        <v>29</v>
      </c>
      <c r="I149" s="1">
        <v>9800</v>
      </c>
      <c r="J149" s="2">
        <f t="shared" si="3"/>
        <v>101596.28</v>
      </c>
      <c r="K149" s="2">
        <f t="shared" si="4"/>
        <v>995643544</v>
      </c>
      <c r="L149" s="2">
        <f t="shared" si="1"/>
        <v>174170356456</v>
      </c>
    </row>
    <row r="150" spans="1:12" ht="15.75" customHeight="1" x14ac:dyDescent="0.3">
      <c r="A150" s="1" t="s">
        <v>24</v>
      </c>
      <c r="B150" s="1" t="s">
        <v>33</v>
      </c>
      <c r="C150" s="1">
        <v>0</v>
      </c>
      <c r="D150" s="1">
        <v>2020</v>
      </c>
      <c r="E150" s="1">
        <f t="shared" ca="1" si="0"/>
        <v>0.21156485443827211</v>
      </c>
      <c r="F150" s="2">
        <v>68000</v>
      </c>
      <c r="G150" s="2">
        <f t="shared" si="2"/>
        <v>0</v>
      </c>
      <c r="H150" s="4">
        <v>31</v>
      </c>
      <c r="I150" s="1">
        <v>18000</v>
      </c>
      <c r="J150" s="2">
        <f t="shared" si="3"/>
        <v>0</v>
      </c>
      <c r="K150" s="2">
        <f t="shared" si="4"/>
        <v>0</v>
      </c>
      <c r="L150" s="2">
        <f t="shared" si="1"/>
        <v>0</v>
      </c>
    </row>
    <row r="151" spans="1:12" ht="15.75" customHeight="1" x14ac:dyDescent="0.3">
      <c r="A151" s="1" t="s">
        <v>13</v>
      </c>
      <c r="B151" s="1" t="s">
        <v>43</v>
      </c>
      <c r="C151" s="1">
        <v>16913.05</v>
      </c>
      <c r="D151" s="1">
        <v>2020</v>
      </c>
      <c r="E151" s="1">
        <f t="shared" ca="1" si="0"/>
        <v>0.44451644323770223</v>
      </c>
      <c r="F151" s="2">
        <v>50000</v>
      </c>
      <c r="G151" s="2">
        <f t="shared" si="2"/>
        <v>845652500000</v>
      </c>
      <c r="H151" s="4">
        <v>27</v>
      </c>
      <c r="I151" s="1">
        <v>9800</v>
      </c>
      <c r="J151" s="2">
        <f t="shared" si="3"/>
        <v>456652.35</v>
      </c>
      <c r="K151" s="2">
        <f t="shared" si="4"/>
        <v>4475193030</v>
      </c>
      <c r="L151" s="2">
        <f t="shared" si="1"/>
        <v>841177306970</v>
      </c>
    </row>
    <row r="152" spans="1:12" ht="15.75" customHeight="1" x14ac:dyDescent="0.3">
      <c r="A152" s="1" t="s">
        <v>17</v>
      </c>
      <c r="B152" s="1" t="s">
        <v>40</v>
      </c>
      <c r="C152" s="1">
        <v>876.62</v>
      </c>
      <c r="D152" s="1">
        <v>2021</v>
      </c>
      <c r="E152" s="1">
        <f t="shared" ca="1" si="0"/>
        <v>0.39725645751147576</v>
      </c>
      <c r="F152" s="2">
        <v>130000</v>
      </c>
      <c r="G152" s="2">
        <f t="shared" si="2"/>
        <v>113960600000</v>
      </c>
      <c r="H152" s="4">
        <v>32</v>
      </c>
      <c r="I152" s="1">
        <v>17000</v>
      </c>
      <c r="J152" s="2">
        <f t="shared" si="3"/>
        <v>28051.84</v>
      </c>
      <c r="K152" s="2">
        <f t="shared" si="4"/>
        <v>476881280</v>
      </c>
      <c r="L152" s="2">
        <f t="shared" si="1"/>
        <v>113483718720</v>
      </c>
    </row>
    <row r="153" spans="1:12" ht="15.75" customHeight="1" x14ac:dyDescent="0.3">
      <c r="A153" s="1" t="s">
        <v>24</v>
      </c>
      <c r="B153" s="1" t="s">
        <v>25</v>
      </c>
      <c r="C153" s="1">
        <v>0</v>
      </c>
      <c r="D153" s="1">
        <v>2020</v>
      </c>
      <c r="E153" s="1">
        <f t="shared" ca="1" si="0"/>
        <v>5.9565594085642548E-2</v>
      </c>
      <c r="F153" s="2">
        <v>68000</v>
      </c>
      <c r="G153" s="2">
        <f t="shared" si="2"/>
        <v>0</v>
      </c>
      <c r="H153" s="4">
        <v>31</v>
      </c>
      <c r="I153" s="1">
        <v>18000</v>
      </c>
      <c r="J153" s="2">
        <f t="shared" si="3"/>
        <v>0</v>
      </c>
      <c r="K153" s="2">
        <f t="shared" si="4"/>
        <v>0</v>
      </c>
      <c r="L153" s="2">
        <f t="shared" si="1"/>
        <v>0</v>
      </c>
    </row>
    <row r="154" spans="1:12" ht="15.75" customHeight="1" x14ac:dyDescent="0.3">
      <c r="A154" s="1" t="s">
        <v>15</v>
      </c>
      <c r="B154" s="1" t="s">
        <v>14</v>
      </c>
      <c r="C154" s="1">
        <v>1475886.12</v>
      </c>
      <c r="D154" s="1">
        <v>2021</v>
      </c>
      <c r="E154" s="1">
        <f t="shared" ca="1" si="0"/>
        <v>0.72951048446134237</v>
      </c>
      <c r="F154" s="2">
        <v>34000</v>
      </c>
      <c r="G154" s="2">
        <f t="shared" si="2"/>
        <v>50180128080000</v>
      </c>
      <c r="H154" s="4">
        <v>21</v>
      </c>
      <c r="I154" s="1">
        <v>9000</v>
      </c>
      <c r="J154" s="2">
        <f t="shared" si="3"/>
        <v>30993608.520000003</v>
      </c>
      <c r="K154" s="2">
        <f t="shared" si="4"/>
        <v>278942476680</v>
      </c>
      <c r="L154" s="2">
        <f t="shared" si="1"/>
        <v>49901185603320</v>
      </c>
    </row>
    <row r="155" spans="1:12" ht="15.75" customHeight="1" x14ac:dyDescent="0.3">
      <c r="A155" s="1" t="s">
        <v>15</v>
      </c>
      <c r="B155" s="1" t="s">
        <v>40</v>
      </c>
      <c r="C155" s="1">
        <v>3885.97</v>
      </c>
      <c r="D155" s="1">
        <v>2020</v>
      </c>
      <c r="E155" s="1">
        <f t="shared" ca="1" si="0"/>
        <v>0.72929614724818159</v>
      </c>
      <c r="F155" s="2">
        <v>34000</v>
      </c>
      <c r="G155" s="2">
        <f t="shared" si="2"/>
        <v>132122980000</v>
      </c>
      <c r="H155" s="4">
        <v>25</v>
      </c>
      <c r="I155" s="1">
        <v>9000</v>
      </c>
      <c r="J155" s="2">
        <f t="shared" si="3"/>
        <v>97149.25</v>
      </c>
      <c r="K155" s="2">
        <f t="shared" si="4"/>
        <v>874343250</v>
      </c>
      <c r="L155" s="2">
        <f t="shared" si="1"/>
        <v>131248636750</v>
      </c>
    </row>
    <row r="156" spans="1:12" ht="15.75" customHeight="1" x14ac:dyDescent="0.3">
      <c r="A156" s="1" t="s">
        <v>13</v>
      </c>
      <c r="B156" s="1" t="s">
        <v>29</v>
      </c>
      <c r="C156" s="1">
        <v>2870.38</v>
      </c>
      <c r="D156" s="1">
        <v>2020</v>
      </c>
      <c r="E156" s="1">
        <f t="shared" ca="1" si="0"/>
        <v>0.69130242932825803</v>
      </c>
      <c r="F156" s="2">
        <v>50000</v>
      </c>
      <c r="G156" s="2">
        <f t="shared" si="2"/>
        <v>143519000000</v>
      </c>
      <c r="H156" s="4">
        <v>27</v>
      </c>
      <c r="I156" s="1">
        <v>9800</v>
      </c>
      <c r="J156" s="2">
        <f t="shared" si="3"/>
        <v>77500.260000000009</v>
      </c>
      <c r="K156" s="2">
        <f t="shared" si="4"/>
        <v>759502548.00000012</v>
      </c>
      <c r="L156" s="2">
        <f t="shared" si="1"/>
        <v>142759497452</v>
      </c>
    </row>
    <row r="157" spans="1:12" ht="15.75" customHeight="1" x14ac:dyDescent="0.3">
      <c r="A157" s="1" t="s">
        <v>24</v>
      </c>
      <c r="B157" s="1" t="s">
        <v>36</v>
      </c>
      <c r="C157" s="1">
        <v>3062.45</v>
      </c>
      <c r="D157" s="1">
        <v>2020</v>
      </c>
      <c r="E157" s="1">
        <f t="shared" ca="1" si="0"/>
        <v>7.2923499037915285E-2</v>
      </c>
      <c r="F157" s="2">
        <v>68000</v>
      </c>
      <c r="G157" s="2">
        <f t="shared" si="2"/>
        <v>208246600000</v>
      </c>
      <c r="H157" s="4">
        <v>31</v>
      </c>
      <c r="I157" s="1">
        <v>18000</v>
      </c>
      <c r="J157" s="2">
        <f t="shared" si="3"/>
        <v>94935.95</v>
      </c>
      <c r="K157" s="2">
        <f t="shared" si="4"/>
        <v>1708847100</v>
      </c>
      <c r="L157" s="2">
        <f t="shared" si="1"/>
        <v>206537752900</v>
      </c>
    </row>
    <row r="158" spans="1:12" ht="15.75" customHeight="1" x14ac:dyDescent="0.3">
      <c r="A158" s="1" t="s">
        <v>17</v>
      </c>
      <c r="B158" s="1" t="s">
        <v>23</v>
      </c>
      <c r="C158" s="1">
        <v>5790.1</v>
      </c>
      <c r="D158" s="1">
        <v>2020</v>
      </c>
      <c r="E158" s="1">
        <f t="shared" ca="1" si="0"/>
        <v>0.86335713107603695</v>
      </c>
      <c r="F158" s="2">
        <v>130000</v>
      </c>
      <c r="G158" s="2">
        <f t="shared" si="2"/>
        <v>752713000000</v>
      </c>
      <c r="H158" s="4">
        <v>35</v>
      </c>
      <c r="I158" s="1">
        <v>17000</v>
      </c>
      <c r="J158" s="2">
        <f t="shared" si="3"/>
        <v>202653.5</v>
      </c>
      <c r="K158" s="2">
        <f t="shared" si="4"/>
        <v>3445109500</v>
      </c>
      <c r="L158" s="2">
        <f t="shared" si="1"/>
        <v>749267890500</v>
      </c>
    </row>
    <row r="159" spans="1:12" ht="15.75" customHeight="1" x14ac:dyDescent="0.3">
      <c r="A159" s="1" t="s">
        <v>24</v>
      </c>
      <c r="B159" s="1" t="s">
        <v>22</v>
      </c>
      <c r="C159" s="1">
        <v>0</v>
      </c>
      <c r="D159" s="1">
        <v>2021</v>
      </c>
      <c r="E159" s="1">
        <f t="shared" ca="1" si="0"/>
        <v>0.43464431698494022</v>
      </c>
      <c r="F159" s="2">
        <v>68000</v>
      </c>
      <c r="G159" s="2">
        <f t="shared" si="2"/>
        <v>0</v>
      </c>
      <c r="H159" s="4">
        <v>33</v>
      </c>
      <c r="I159" s="1">
        <v>18000</v>
      </c>
      <c r="J159" s="2">
        <f t="shared" si="3"/>
        <v>0</v>
      </c>
      <c r="K159" s="2">
        <f t="shared" si="4"/>
        <v>0</v>
      </c>
      <c r="L159" s="2">
        <f t="shared" si="1"/>
        <v>0</v>
      </c>
    </row>
    <row r="160" spans="1:12" ht="15.75" customHeight="1" x14ac:dyDescent="0.3">
      <c r="A160" s="1" t="s">
        <v>15</v>
      </c>
      <c r="B160" s="1" t="s">
        <v>23</v>
      </c>
      <c r="C160" s="1">
        <v>661895.15</v>
      </c>
      <c r="D160" s="1">
        <v>2021</v>
      </c>
      <c r="E160" s="1">
        <f t="shared" ca="1" si="0"/>
        <v>0.13590833871436736</v>
      </c>
      <c r="F160" s="2">
        <v>34000</v>
      </c>
      <c r="G160" s="2">
        <f t="shared" si="2"/>
        <v>22504435100000</v>
      </c>
      <c r="H160" s="4">
        <v>21</v>
      </c>
      <c r="I160" s="1">
        <v>9000</v>
      </c>
      <c r="J160" s="2">
        <f t="shared" si="3"/>
        <v>13899798.15</v>
      </c>
      <c r="K160" s="2">
        <f t="shared" si="4"/>
        <v>125098183350</v>
      </c>
      <c r="L160" s="2">
        <f t="shared" si="1"/>
        <v>22379336916650</v>
      </c>
    </row>
    <row r="161" spans="1:12" ht="15.75" customHeight="1" x14ac:dyDescent="0.3">
      <c r="A161" s="1" t="s">
        <v>17</v>
      </c>
      <c r="B161" s="1" t="s">
        <v>28</v>
      </c>
      <c r="C161" s="1">
        <v>82.51</v>
      </c>
      <c r="D161" s="1">
        <v>2021</v>
      </c>
      <c r="E161" s="1">
        <f t="shared" ca="1" si="0"/>
        <v>0.83336328652204483</v>
      </c>
      <c r="F161" s="2">
        <v>130000</v>
      </c>
      <c r="G161" s="2">
        <f t="shared" si="2"/>
        <v>10726300000</v>
      </c>
      <c r="H161" s="4">
        <v>32</v>
      </c>
      <c r="I161" s="1">
        <v>17000</v>
      </c>
      <c r="J161" s="2">
        <f t="shared" si="3"/>
        <v>2640.32</v>
      </c>
      <c r="K161" s="2">
        <f t="shared" si="4"/>
        <v>44885440</v>
      </c>
      <c r="L161" s="2">
        <f t="shared" si="1"/>
        <v>10681414560</v>
      </c>
    </row>
    <row r="162" spans="1:12" ht="15.75" customHeight="1" x14ac:dyDescent="0.3">
      <c r="A162" s="1" t="s">
        <v>13</v>
      </c>
      <c r="B162" s="1" t="s">
        <v>31</v>
      </c>
      <c r="C162" s="1">
        <v>3938.86</v>
      </c>
      <c r="D162" s="1">
        <v>2021</v>
      </c>
      <c r="E162" s="1">
        <f t="shared" ca="1" si="0"/>
        <v>4.6704819777199869E-2</v>
      </c>
      <c r="F162" s="2">
        <v>50000</v>
      </c>
      <c r="G162" s="2">
        <f t="shared" si="2"/>
        <v>196943000000</v>
      </c>
      <c r="H162" s="4">
        <v>26</v>
      </c>
      <c r="I162" s="1">
        <v>9800</v>
      </c>
      <c r="J162" s="2">
        <f t="shared" si="3"/>
        <v>102410.36</v>
      </c>
      <c r="K162" s="2">
        <f t="shared" si="4"/>
        <v>1003621528</v>
      </c>
      <c r="L162" s="2">
        <f t="shared" si="1"/>
        <v>195939378472</v>
      </c>
    </row>
    <row r="163" spans="1:12" ht="15.75" customHeight="1" x14ac:dyDescent="0.3">
      <c r="A163" s="1" t="s">
        <v>17</v>
      </c>
      <c r="B163" s="1" t="s">
        <v>47</v>
      </c>
      <c r="C163" s="1">
        <v>1746.02</v>
      </c>
      <c r="D163" s="1">
        <v>2022</v>
      </c>
      <c r="E163" s="1">
        <f t="shared" ca="1" si="0"/>
        <v>0.94109683168186165</v>
      </c>
      <c r="F163" s="2">
        <v>130000</v>
      </c>
      <c r="G163" s="2">
        <f t="shared" si="2"/>
        <v>226982600000</v>
      </c>
      <c r="H163" s="4">
        <v>37</v>
      </c>
      <c r="I163" s="1">
        <v>17000</v>
      </c>
      <c r="J163" s="2">
        <f t="shared" si="3"/>
        <v>64602.74</v>
      </c>
      <c r="K163" s="2">
        <f t="shared" si="4"/>
        <v>1098246580</v>
      </c>
      <c r="L163" s="2">
        <f t="shared" si="1"/>
        <v>225884353420</v>
      </c>
    </row>
    <row r="164" spans="1:12" ht="15.75" customHeight="1" x14ac:dyDescent="0.3">
      <c r="A164" s="1" t="s">
        <v>13</v>
      </c>
      <c r="B164" s="1" t="s">
        <v>37</v>
      </c>
      <c r="C164" s="1">
        <v>1244.6300000000001</v>
      </c>
      <c r="D164" s="1">
        <v>2020</v>
      </c>
      <c r="E164" s="1">
        <f t="shared" ca="1" si="0"/>
        <v>0.95230006661432542</v>
      </c>
      <c r="F164" s="2">
        <v>50000</v>
      </c>
      <c r="G164" s="2">
        <f t="shared" si="2"/>
        <v>62231500000</v>
      </c>
      <c r="H164" s="4">
        <v>27</v>
      </c>
      <c r="I164" s="1">
        <v>9800</v>
      </c>
      <c r="J164" s="2">
        <f t="shared" si="3"/>
        <v>33605.01</v>
      </c>
      <c r="K164" s="2">
        <f t="shared" si="4"/>
        <v>329329098</v>
      </c>
      <c r="L164" s="2">
        <f t="shared" si="1"/>
        <v>61902170902</v>
      </c>
    </row>
    <row r="165" spans="1:12" ht="15.75" customHeight="1" x14ac:dyDescent="0.3">
      <c r="A165" s="1" t="s">
        <v>24</v>
      </c>
      <c r="B165" s="1" t="s">
        <v>30</v>
      </c>
      <c r="C165" s="1">
        <v>61.45</v>
      </c>
      <c r="D165" s="1">
        <v>2021</v>
      </c>
      <c r="E165" s="1">
        <f t="shared" ca="1" si="0"/>
        <v>0.41467665213461979</v>
      </c>
      <c r="F165" s="2">
        <v>68000</v>
      </c>
      <c r="G165" s="2">
        <f t="shared" si="2"/>
        <v>4178600000</v>
      </c>
      <c r="H165" s="4">
        <v>33</v>
      </c>
      <c r="I165" s="1">
        <v>18000</v>
      </c>
      <c r="J165" s="2">
        <f t="shared" si="3"/>
        <v>2027.8500000000001</v>
      </c>
      <c r="K165" s="2">
        <f t="shared" si="4"/>
        <v>36501300</v>
      </c>
      <c r="L165" s="2">
        <f t="shared" si="1"/>
        <v>4142098700</v>
      </c>
    </row>
    <row r="166" spans="1:12" ht="15.75" customHeight="1" x14ac:dyDescent="0.3">
      <c r="A166" s="1" t="s">
        <v>20</v>
      </c>
      <c r="B166" s="1" t="s">
        <v>49</v>
      </c>
      <c r="C166" s="1">
        <v>12927.76</v>
      </c>
      <c r="D166" s="1">
        <v>2020</v>
      </c>
      <c r="E166" s="1">
        <f t="shared" ca="1" si="0"/>
        <v>0.91539536880137029</v>
      </c>
      <c r="F166" s="2">
        <v>150000</v>
      </c>
      <c r="G166" s="2">
        <f t="shared" si="2"/>
        <v>1939164000000</v>
      </c>
      <c r="H166" s="4">
        <v>38</v>
      </c>
      <c r="I166" s="1">
        <v>17800</v>
      </c>
      <c r="J166" s="2">
        <f t="shared" si="3"/>
        <v>491254.88</v>
      </c>
      <c r="K166" s="2">
        <f t="shared" si="4"/>
        <v>8744336864</v>
      </c>
      <c r="L166" s="2">
        <f t="shared" si="1"/>
        <v>1930419663136</v>
      </c>
    </row>
    <row r="167" spans="1:12" ht="15.75" customHeight="1" x14ac:dyDescent="0.3">
      <c r="A167" s="1" t="s">
        <v>20</v>
      </c>
      <c r="B167" s="1" t="s">
        <v>25</v>
      </c>
      <c r="C167" s="1">
        <v>4525.62</v>
      </c>
      <c r="D167" s="1">
        <v>2022</v>
      </c>
      <c r="E167" s="1">
        <f t="shared" ca="1" si="0"/>
        <v>0.34675057758278705</v>
      </c>
      <c r="F167" s="2">
        <v>150000</v>
      </c>
      <c r="G167" s="2">
        <f t="shared" si="2"/>
        <v>678843000000</v>
      </c>
      <c r="H167" s="4">
        <v>40</v>
      </c>
      <c r="I167" s="1">
        <v>17800</v>
      </c>
      <c r="J167" s="2">
        <f t="shared" si="3"/>
        <v>181024.8</v>
      </c>
      <c r="K167" s="2">
        <f t="shared" si="4"/>
        <v>3222241440</v>
      </c>
      <c r="L167" s="2">
        <f t="shared" si="1"/>
        <v>675620758560</v>
      </c>
    </row>
    <row r="168" spans="1:12" ht="15.75" customHeight="1" x14ac:dyDescent="0.3">
      <c r="A168" s="1" t="s">
        <v>17</v>
      </c>
      <c r="B168" s="1" t="s">
        <v>16</v>
      </c>
      <c r="C168" s="1">
        <v>276.88</v>
      </c>
      <c r="D168" s="1">
        <v>2021</v>
      </c>
      <c r="E168" s="1">
        <f t="shared" ca="1" si="0"/>
        <v>0.85089430590468451</v>
      </c>
      <c r="F168" s="2">
        <v>130000</v>
      </c>
      <c r="G168" s="2">
        <f t="shared" si="2"/>
        <v>35994400000</v>
      </c>
      <c r="H168" s="4">
        <v>32</v>
      </c>
      <c r="I168" s="1">
        <v>17000</v>
      </c>
      <c r="J168" s="2">
        <f t="shared" si="3"/>
        <v>8860.16</v>
      </c>
      <c r="K168" s="2">
        <f t="shared" si="4"/>
        <v>150622720</v>
      </c>
      <c r="L168" s="2">
        <f t="shared" si="1"/>
        <v>35843777280</v>
      </c>
    </row>
    <row r="169" spans="1:12" ht="15.75" customHeight="1" x14ac:dyDescent="0.3">
      <c r="A169" s="1" t="s">
        <v>17</v>
      </c>
      <c r="B169" s="1" t="s">
        <v>37</v>
      </c>
      <c r="C169" s="1">
        <v>186.63</v>
      </c>
      <c r="D169" s="1">
        <v>2022</v>
      </c>
      <c r="E169" s="1">
        <f t="shared" ca="1" si="0"/>
        <v>0.47562484536438088</v>
      </c>
      <c r="F169" s="2">
        <v>130000</v>
      </c>
      <c r="G169" s="2">
        <f t="shared" si="2"/>
        <v>24261900000</v>
      </c>
      <c r="H169" s="4">
        <v>37</v>
      </c>
      <c r="I169" s="1">
        <v>17000</v>
      </c>
      <c r="J169" s="2">
        <f t="shared" si="3"/>
        <v>6905.3099999999995</v>
      </c>
      <c r="K169" s="2">
        <f t="shared" si="4"/>
        <v>117390269.99999999</v>
      </c>
      <c r="L169" s="2">
        <f t="shared" si="1"/>
        <v>24144509730</v>
      </c>
    </row>
    <row r="170" spans="1:12" ht="15.75" customHeight="1" x14ac:dyDescent="0.3">
      <c r="A170" s="1" t="s">
        <v>15</v>
      </c>
      <c r="B170" s="1" t="s">
        <v>51</v>
      </c>
      <c r="C170" s="1">
        <v>29051.65</v>
      </c>
      <c r="D170" s="1">
        <v>2022</v>
      </c>
      <c r="E170" s="1">
        <f t="shared" ca="1" si="0"/>
        <v>0.25272355517155742</v>
      </c>
      <c r="F170" s="2">
        <v>34000</v>
      </c>
      <c r="G170" s="2">
        <f t="shared" si="2"/>
        <v>987756100000</v>
      </c>
      <c r="H170" s="4">
        <v>20</v>
      </c>
      <c r="I170" s="1">
        <v>9000</v>
      </c>
      <c r="J170" s="2">
        <f t="shared" si="3"/>
        <v>581033</v>
      </c>
      <c r="K170" s="2">
        <f t="shared" si="4"/>
        <v>5229297000</v>
      </c>
      <c r="L170" s="2">
        <f t="shared" si="1"/>
        <v>982526803000</v>
      </c>
    </row>
    <row r="171" spans="1:12" ht="15.75" customHeight="1" x14ac:dyDescent="0.3">
      <c r="A171" s="1" t="s">
        <v>13</v>
      </c>
      <c r="B171" s="1" t="s">
        <v>32</v>
      </c>
      <c r="C171" s="1">
        <v>289.52</v>
      </c>
      <c r="D171" s="1">
        <v>2020</v>
      </c>
      <c r="E171" s="1">
        <f t="shared" ca="1" si="0"/>
        <v>9.2255178646882374E-2</v>
      </c>
      <c r="F171" s="2">
        <v>50000</v>
      </c>
      <c r="G171" s="2">
        <f t="shared" si="2"/>
        <v>14476000000</v>
      </c>
      <c r="H171" s="4">
        <v>27</v>
      </c>
      <c r="I171" s="1">
        <v>9800</v>
      </c>
      <c r="J171" s="2">
        <f t="shared" si="3"/>
        <v>7817.0399999999991</v>
      </c>
      <c r="K171" s="2">
        <f t="shared" si="4"/>
        <v>76606991.999999985</v>
      </c>
      <c r="L171" s="2">
        <f t="shared" si="1"/>
        <v>14399393008</v>
      </c>
    </row>
    <row r="172" spans="1:12" ht="15.75" customHeight="1" x14ac:dyDescent="0.3">
      <c r="A172" s="1" t="s">
        <v>17</v>
      </c>
      <c r="B172" s="1" t="s">
        <v>49</v>
      </c>
      <c r="C172" s="1">
        <v>1946.25</v>
      </c>
      <c r="D172" s="1">
        <v>2020</v>
      </c>
      <c r="E172" s="1">
        <f t="shared" ca="1" si="0"/>
        <v>0.67516391438383128</v>
      </c>
      <c r="F172" s="2">
        <v>130000</v>
      </c>
      <c r="G172" s="2">
        <f t="shared" si="2"/>
        <v>253012500000</v>
      </c>
      <c r="H172" s="4">
        <v>35</v>
      </c>
      <c r="I172" s="1">
        <v>17000</v>
      </c>
      <c r="J172" s="2">
        <f t="shared" si="3"/>
        <v>68118.75</v>
      </c>
      <c r="K172" s="2">
        <f t="shared" si="4"/>
        <v>1158018750</v>
      </c>
      <c r="L172" s="2">
        <f t="shared" si="1"/>
        <v>251854481250</v>
      </c>
    </row>
    <row r="173" spans="1:12" ht="15.75" customHeight="1" x14ac:dyDescent="0.3">
      <c r="A173" s="1" t="s">
        <v>17</v>
      </c>
      <c r="B173" s="1" t="s">
        <v>43</v>
      </c>
      <c r="C173" s="1">
        <v>1441.19</v>
      </c>
      <c r="D173" s="1">
        <v>2020</v>
      </c>
      <c r="E173" s="1">
        <f t="shared" ca="1" si="0"/>
        <v>0.80621561544932108</v>
      </c>
      <c r="F173" s="2">
        <v>130000</v>
      </c>
      <c r="G173" s="2">
        <f t="shared" si="2"/>
        <v>187354700000</v>
      </c>
      <c r="H173" s="4">
        <v>35</v>
      </c>
      <c r="I173" s="1">
        <v>17000</v>
      </c>
      <c r="J173" s="2">
        <f t="shared" si="3"/>
        <v>50441.65</v>
      </c>
      <c r="K173" s="2">
        <f t="shared" si="4"/>
        <v>857508050</v>
      </c>
      <c r="L173" s="2">
        <f t="shared" si="1"/>
        <v>186497191950</v>
      </c>
    </row>
    <row r="174" spans="1:12" ht="15.75" customHeight="1" x14ac:dyDescent="0.3">
      <c r="A174" s="1" t="s">
        <v>24</v>
      </c>
      <c r="B174" s="1" t="s">
        <v>32</v>
      </c>
      <c r="C174" s="1">
        <v>0</v>
      </c>
      <c r="D174" s="1">
        <v>2022</v>
      </c>
      <c r="E174" s="1">
        <f t="shared" ca="1" si="0"/>
        <v>0.8374664423253102</v>
      </c>
      <c r="F174" s="2">
        <v>68000</v>
      </c>
      <c r="G174" s="2">
        <f t="shared" si="2"/>
        <v>0</v>
      </c>
      <c r="H174" s="4">
        <v>28</v>
      </c>
      <c r="I174" s="1">
        <v>18000</v>
      </c>
      <c r="J174" s="2">
        <f t="shared" si="3"/>
        <v>0</v>
      </c>
      <c r="K174" s="2">
        <f t="shared" si="4"/>
        <v>0</v>
      </c>
      <c r="L174" s="2">
        <f t="shared" si="1"/>
        <v>0</v>
      </c>
    </row>
    <row r="175" spans="1:12" ht="15.75" customHeight="1" x14ac:dyDescent="0.3">
      <c r="A175" s="1" t="s">
        <v>20</v>
      </c>
      <c r="B175" s="1" t="s">
        <v>46</v>
      </c>
      <c r="C175" s="1">
        <v>5095.8900000000003</v>
      </c>
      <c r="D175" s="1">
        <v>2022</v>
      </c>
      <c r="E175" s="1">
        <f t="shared" ca="1" si="0"/>
        <v>0.67466417427511716</v>
      </c>
      <c r="F175" s="2">
        <v>150000</v>
      </c>
      <c r="G175" s="2">
        <f t="shared" si="2"/>
        <v>764383500000</v>
      </c>
      <c r="H175" s="4">
        <v>40</v>
      </c>
      <c r="I175" s="1">
        <v>17800</v>
      </c>
      <c r="J175" s="2">
        <f t="shared" si="3"/>
        <v>203835.6</v>
      </c>
      <c r="K175" s="2">
        <f t="shared" si="4"/>
        <v>3628273680</v>
      </c>
      <c r="L175" s="2">
        <f t="shared" si="1"/>
        <v>760755226320</v>
      </c>
    </row>
    <row r="176" spans="1:12" ht="15.75" customHeight="1" x14ac:dyDescent="0.3">
      <c r="A176" s="1" t="s">
        <v>17</v>
      </c>
      <c r="B176" s="1" t="s">
        <v>36</v>
      </c>
      <c r="C176" s="1">
        <v>2610.69</v>
      </c>
      <c r="D176" s="1">
        <v>2022</v>
      </c>
      <c r="E176" s="1">
        <f t="shared" ca="1" si="0"/>
        <v>0.58124336623891315</v>
      </c>
      <c r="F176" s="2">
        <v>130000</v>
      </c>
      <c r="G176" s="2">
        <f t="shared" si="2"/>
        <v>339389700000</v>
      </c>
      <c r="H176" s="4">
        <v>37</v>
      </c>
      <c r="I176" s="1">
        <v>17000</v>
      </c>
      <c r="J176" s="2">
        <f t="shared" si="3"/>
        <v>96595.53</v>
      </c>
      <c r="K176" s="2">
        <f t="shared" si="4"/>
        <v>1642124010</v>
      </c>
      <c r="L176" s="2">
        <f t="shared" si="1"/>
        <v>337747575990</v>
      </c>
    </row>
    <row r="177" spans="1:12" ht="15.75" customHeight="1" x14ac:dyDescent="0.3">
      <c r="A177" s="1" t="s">
        <v>20</v>
      </c>
      <c r="B177" s="1" t="s">
        <v>42</v>
      </c>
      <c r="C177" s="1">
        <v>11014.08</v>
      </c>
      <c r="D177" s="1">
        <v>2021</v>
      </c>
      <c r="E177" s="1">
        <f t="shared" ca="1" si="0"/>
        <v>0.16608803564779939</v>
      </c>
      <c r="F177" s="2">
        <v>150000</v>
      </c>
      <c r="G177" s="2">
        <f t="shared" si="2"/>
        <v>1652112000000</v>
      </c>
      <c r="H177" s="4">
        <v>39</v>
      </c>
      <c r="I177" s="1">
        <v>17800</v>
      </c>
      <c r="J177" s="2">
        <f t="shared" si="3"/>
        <v>429549.12</v>
      </c>
      <c r="K177" s="2">
        <f t="shared" si="4"/>
        <v>7645974336</v>
      </c>
      <c r="L177" s="2">
        <f t="shared" si="1"/>
        <v>1644466025664</v>
      </c>
    </row>
    <row r="178" spans="1:12" ht="15.75" customHeight="1" x14ac:dyDescent="0.3">
      <c r="A178" s="1" t="s">
        <v>15</v>
      </c>
      <c r="B178" s="1" t="s">
        <v>46</v>
      </c>
      <c r="C178" s="1">
        <v>70235.91</v>
      </c>
      <c r="D178" s="1">
        <v>2022</v>
      </c>
      <c r="E178" s="1">
        <f t="shared" ca="1" si="0"/>
        <v>0.85232638694463203</v>
      </c>
      <c r="F178" s="2">
        <v>34000</v>
      </c>
      <c r="G178" s="2">
        <f t="shared" si="2"/>
        <v>2388020940000</v>
      </c>
      <c r="H178" s="4">
        <v>20</v>
      </c>
      <c r="I178" s="1">
        <v>9000</v>
      </c>
      <c r="J178" s="2">
        <f t="shared" si="3"/>
        <v>1404718.2000000002</v>
      </c>
      <c r="K178" s="2">
        <f t="shared" si="4"/>
        <v>12642463800.000002</v>
      </c>
      <c r="L178" s="2">
        <f t="shared" si="1"/>
        <v>2375378476200</v>
      </c>
    </row>
    <row r="179" spans="1:12" ht="15.75" customHeight="1" x14ac:dyDescent="0.3">
      <c r="A179" s="1" t="s">
        <v>24</v>
      </c>
      <c r="B179" s="1" t="s">
        <v>16</v>
      </c>
      <c r="C179" s="1">
        <v>0</v>
      </c>
      <c r="D179" s="1">
        <v>2021</v>
      </c>
      <c r="E179" s="1">
        <f t="shared" ca="1" si="0"/>
        <v>0.36255653660514586</v>
      </c>
      <c r="F179" s="2">
        <v>68000</v>
      </c>
      <c r="G179" s="2">
        <f t="shared" si="2"/>
        <v>0</v>
      </c>
      <c r="H179" s="4">
        <v>33</v>
      </c>
      <c r="I179" s="1">
        <v>18000</v>
      </c>
      <c r="J179" s="2">
        <f t="shared" si="3"/>
        <v>0</v>
      </c>
      <c r="K179" s="2">
        <f t="shared" si="4"/>
        <v>0</v>
      </c>
      <c r="L179" s="2">
        <f t="shared" si="1"/>
        <v>0</v>
      </c>
    </row>
    <row r="180" spans="1:12" ht="15.75" customHeight="1" x14ac:dyDescent="0.3">
      <c r="A180" s="1" t="s">
        <v>15</v>
      </c>
      <c r="B180" s="1" t="s">
        <v>26</v>
      </c>
      <c r="C180" s="1">
        <v>584728.4</v>
      </c>
      <c r="D180" s="1">
        <v>2022</v>
      </c>
      <c r="E180" s="1">
        <f t="shared" ca="1" si="0"/>
        <v>0.60067996058334394</v>
      </c>
      <c r="F180" s="2">
        <v>34000</v>
      </c>
      <c r="G180" s="2">
        <f t="shared" si="2"/>
        <v>19880765600000</v>
      </c>
      <c r="H180" s="4">
        <v>20</v>
      </c>
      <c r="I180" s="1">
        <v>9000</v>
      </c>
      <c r="J180" s="2">
        <f t="shared" si="3"/>
        <v>11694568</v>
      </c>
      <c r="K180" s="2">
        <f t="shared" si="4"/>
        <v>105251112000</v>
      </c>
      <c r="L180" s="2">
        <f t="shared" si="1"/>
        <v>19775514488000</v>
      </c>
    </row>
    <row r="181" spans="1:12" ht="15.75" customHeight="1" x14ac:dyDescent="0.3">
      <c r="A181" s="1" t="s">
        <v>15</v>
      </c>
      <c r="B181" s="1" t="s">
        <v>18</v>
      </c>
      <c r="C181" s="1">
        <v>8250.92</v>
      </c>
      <c r="D181" s="1">
        <v>2021</v>
      </c>
      <c r="E181" s="1">
        <f t="shared" ca="1" si="0"/>
        <v>0.29781608052099995</v>
      </c>
      <c r="F181" s="2">
        <v>34000</v>
      </c>
      <c r="G181" s="2">
        <f t="shared" si="2"/>
        <v>280531280000</v>
      </c>
      <c r="H181" s="4">
        <v>21</v>
      </c>
      <c r="I181" s="1">
        <v>9000</v>
      </c>
      <c r="J181" s="2">
        <f t="shared" si="3"/>
        <v>173269.32</v>
      </c>
      <c r="K181" s="2">
        <f t="shared" si="4"/>
        <v>1559423880</v>
      </c>
      <c r="L181" s="2">
        <f t="shared" si="1"/>
        <v>278971856120</v>
      </c>
    </row>
    <row r="182" spans="1:12" ht="15.75" customHeight="1" x14ac:dyDescent="0.3">
      <c r="A182" s="1" t="s">
        <v>20</v>
      </c>
      <c r="B182" s="1" t="s">
        <v>41</v>
      </c>
      <c r="C182" s="1">
        <v>8737.2999999999993</v>
      </c>
      <c r="D182" s="1">
        <v>2020</v>
      </c>
      <c r="E182" s="1">
        <f t="shared" ca="1" si="0"/>
        <v>0.16542991659367989</v>
      </c>
      <c r="F182" s="2">
        <v>150000</v>
      </c>
      <c r="G182" s="2">
        <f t="shared" si="2"/>
        <v>1310595000000</v>
      </c>
      <c r="H182" s="4">
        <v>38</v>
      </c>
      <c r="I182" s="1">
        <v>17800</v>
      </c>
      <c r="J182" s="2">
        <f t="shared" si="3"/>
        <v>332017.39999999997</v>
      </c>
      <c r="K182" s="2">
        <f t="shared" si="4"/>
        <v>5909909719.999999</v>
      </c>
      <c r="L182" s="2">
        <f t="shared" si="1"/>
        <v>1304685090280</v>
      </c>
    </row>
    <row r="183" spans="1:12" ht="15.75" customHeight="1" x14ac:dyDescent="0.3">
      <c r="A183" s="1" t="s">
        <v>17</v>
      </c>
      <c r="B183" s="1" t="s">
        <v>14</v>
      </c>
      <c r="C183" s="1">
        <v>19674.349999999999</v>
      </c>
      <c r="D183" s="1">
        <v>2020</v>
      </c>
      <c r="E183" s="1">
        <f t="shared" ca="1" si="0"/>
        <v>0.59375214983462166</v>
      </c>
      <c r="F183" s="2">
        <v>130000</v>
      </c>
      <c r="G183" s="2">
        <f t="shared" si="2"/>
        <v>2557665500000</v>
      </c>
      <c r="H183" s="4">
        <v>35</v>
      </c>
      <c r="I183" s="1">
        <v>17000</v>
      </c>
      <c r="J183" s="2">
        <f t="shared" si="3"/>
        <v>688602.25</v>
      </c>
      <c r="K183" s="2">
        <f t="shared" si="4"/>
        <v>11706238250</v>
      </c>
      <c r="L183" s="2">
        <f t="shared" si="1"/>
        <v>2545959261750</v>
      </c>
    </row>
    <row r="184" spans="1:12" ht="15.75" customHeight="1" x14ac:dyDescent="0.3">
      <c r="A184" s="1" t="s">
        <v>15</v>
      </c>
      <c r="B184" s="1" t="s">
        <v>27</v>
      </c>
      <c r="C184" s="1">
        <v>22741.1</v>
      </c>
      <c r="D184" s="1">
        <v>2022</v>
      </c>
      <c r="E184" s="1">
        <f t="shared" ca="1" si="0"/>
        <v>0.53631470853714591</v>
      </c>
      <c r="F184" s="2">
        <v>34000</v>
      </c>
      <c r="G184" s="2">
        <f t="shared" si="2"/>
        <v>773197400000</v>
      </c>
      <c r="H184" s="4">
        <v>20</v>
      </c>
      <c r="I184" s="1">
        <v>9000</v>
      </c>
      <c r="J184" s="2">
        <f t="shared" si="3"/>
        <v>454822</v>
      </c>
      <c r="K184" s="2">
        <f t="shared" si="4"/>
        <v>4093398000</v>
      </c>
      <c r="L184" s="2">
        <f t="shared" si="1"/>
        <v>769104002000</v>
      </c>
    </row>
    <row r="185" spans="1:12" ht="15.75" customHeight="1" x14ac:dyDescent="0.3">
      <c r="A185" s="1" t="s">
        <v>24</v>
      </c>
      <c r="B185" s="1" t="s">
        <v>32</v>
      </c>
      <c r="C185" s="1">
        <v>0</v>
      </c>
      <c r="D185" s="1">
        <v>2020</v>
      </c>
      <c r="E185" s="1">
        <f t="shared" ca="1" si="0"/>
        <v>0.47237811959019238</v>
      </c>
      <c r="F185" s="2">
        <v>68000</v>
      </c>
      <c r="G185" s="2">
        <f t="shared" si="2"/>
        <v>0</v>
      </c>
      <c r="H185" s="4">
        <v>31</v>
      </c>
      <c r="I185" s="1">
        <v>18000</v>
      </c>
      <c r="J185" s="2">
        <f t="shared" si="3"/>
        <v>0</v>
      </c>
      <c r="K185" s="2">
        <f t="shared" si="4"/>
        <v>0</v>
      </c>
      <c r="L185" s="2">
        <f t="shared" si="1"/>
        <v>0</v>
      </c>
    </row>
    <row r="186" spans="1:12" ht="15.75" customHeight="1" x14ac:dyDescent="0.3">
      <c r="A186" s="1" t="s">
        <v>24</v>
      </c>
      <c r="B186" s="1" t="s">
        <v>38</v>
      </c>
      <c r="C186" s="1">
        <v>0</v>
      </c>
      <c r="D186" s="1">
        <v>2022</v>
      </c>
      <c r="E186" s="1">
        <f t="shared" ca="1" si="0"/>
        <v>0.72662199432512187</v>
      </c>
      <c r="F186" s="2">
        <v>68000</v>
      </c>
      <c r="G186" s="2">
        <f t="shared" si="2"/>
        <v>0</v>
      </c>
      <c r="H186" s="4">
        <v>28</v>
      </c>
      <c r="I186" s="1">
        <v>18000</v>
      </c>
      <c r="J186" s="2">
        <f t="shared" si="3"/>
        <v>0</v>
      </c>
      <c r="K186" s="2">
        <f t="shared" si="4"/>
        <v>0</v>
      </c>
      <c r="L186" s="2">
        <f t="shared" si="1"/>
        <v>0</v>
      </c>
    </row>
    <row r="187" spans="1:12" ht="15.75" customHeight="1" x14ac:dyDescent="0.3">
      <c r="A187" s="1" t="s">
        <v>15</v>
      </c>
      <c r="B187" s="1" t="s">
        <v>37</v>
      </c>
      <c r="C187" s="1">
        <v>15843.11</v>
      </c>
      <c r="D187" s="1">
        <v>2022</v>
      </c>
      <c r="E187" s="1">
        <f t="shared" ca="1" si="0"/>
        <v>0.33421971725336841</v>
      </c>
      <c r="F187" s="2">
        <v>34000</v>
      </c>
      <c r="G187" s="2">
        <f t="shared" si="2"/>
        <v>538665740000</v>
      </c>
      <c r="H187" s="4">
        <v>20</v>
      </c>
      <c r="I187" s="1">
        <v>9000</v>
      </c>
      <c r="J187" s="2">
        <f t="shared" si="3"/>
        <v>316862.2</v>
      </c>
      <c r="K187" s="2">
        <f t="shared" si="4"/>
        <v>2851759800</v>
      </c>
      <c r="L187" s="2">
        <f t="shared" si="1"/>
        <v>535813980200</v>
      </c>
    </row>
    <row r="188" spans="1:12" ht="15.75" customHeight="1" x14ac:dyDescent="0.3">
      <c r="A188" s="1" t="s">
        <v>13</v>
      </c>
      <c r="B188" s="1" t="s">
        <v>21</v>
      </c>
      <c r="C188" s="1">
        <v>37906.58</v>
      </c>
      <c r="D188" s="1">
        <v>2022</v>
      </c>
      <c r="E188" s="1">
        <f t="shared" ca="1" si="0"/>
        <v>0.29936290028343016</v>
      </c>
      <c r="F188" s="2">
        <v>50000</v>
      </c>
      <c r="G188" s="2">
        <f t="shared" si="2"/>
        <v>1895329000000</v>
      </c>
      <c r="H188" s="4">
        <v>29</v>
      </c>
      <c r="I188" s="1">
        <v>9800</v>
      </c>
      <c r="J188" s="2">
        <f t="shared" si="3"/>
        <v>1099290.82</v>
      </c>
      <c r="K188" s="2">
        <f t="shared" si="4"/>
        <v>10773050036</v>
      </c>
      <c r="L188" s="2">
        <f t="shared" si="1"/>
        <v>1884555949964</v>
      </c>
    </row>
    <row r="189" spans="1:12" ht="15.75" customHeight="1" x14ac:dyDescent="0.3">
      <c r="A189" s="1" t="s">
        <v>20</v>
      </c>
      <c r="B189" s="1" t="s">
        <v>46</v>
      </c>
      <c r="C189" s="1">
        <v>4817.3100000000004</v>
      </c>
      <c r="D189" s="1">
        <v>2020</v>
      </c>
      <c r="E189" s="1">
        <f t="shared" ca="1" si="0"/>
        <v>0.52351084342360632</v>
      </c>
      <c r="F189" s="2">
        <v>150000</v>
      </c>
      <c r="G189" s="2">
        <f t="shared" si="2"/>
        <v>722596500000</v>
      </c>
      <c r="H189" s="4">
        <v>38</v>
      </c>
      <c r="I189" s="1">
        <v>17800</v>
      </c>
      <c r="J189" s="2">
        <f t="shared" si="3"/>
        <v>183057.78000000003</v>
      </c>
      <c r="K189" s="2">
        <f t="shared" si="4"/>
        <v>3258428484.0000005</v>
      </c>
      <c r="L189" s="2">
        <f t="shared" si="1"/>
        <v>719338071516</v>
      </c>
    </row>
    <row r="190" spans="1:12" ht="15.75" customHeight="1" x14ac:dyDescent="0.3">
      <c r="A190" s="1" t="s">
        <v>24</v>
      </c>
      <c r="B190" s="1" t="s">
        <v>31</v>
      </c>
      <c r="C190" s="1">
        <v>161.15</v>
      </c>
      <c r="D190" s="1">
        <v>2020</v>
      </c>
      <c r="E190" s="1">
        <f t="shared" ca="1" si="0"/>
        <v>0.62005752555830085</v>
      </c>
      <c r="F190" s="2">
        <v>68000</v>
      </c>
      <c r="G190" s="2">
        <f t="shared" si="2"/>
        <v>10958200000</v>
      </c>
      <c r="H190" s="4">
        <v>31</v>
      </c>
      <c r="I190" s="1">
        <v>18000</v>
      </c>
      <c r="J190" s="2">
        <f t="shared" si="3"/>
        <v>4995.6500000000005</v>
      </c>
      <c r="K190" s="2">
        <f t="shared" si="4"/>
        <v>89921700.000000015</v>
      </c>
      <c r="L190" s="2">
        <f t="shared" si="1"/>
        <v>10868278300</v>
      </c>
    </row>
    <row r="191" spans="1:12" ht="15.75" customHeight="1" x14ac:dyDescent="0.3">
      <c r="A191" s="1" t="s">
        <v>17</v>
      </c>
      <c r="B191" s="1" t="s">
        <v>32</v>
      </c>
      <c r="C191" s="1">
        <v>289.7</v>
      </c>
      <c r="D191" s="1">
        <v>2020</v>
      </c>
      <c r="E191" s="1">
        <f t="shared" ca="1" si="0"/>
        <v>0.89623217836052704</v>
      </c>
      <c r="F191" s="2">
        <v>130000</v>
      </c>
      <c r="G191" s="2">
        <f t="shared" si="2"/>
        <v>37661000000</v>
      </c>
      <c r="H191" s="4">
        <v>35</v>
      </c>
      <c r="I191" s="1">
        <v>17000</v>
      </c>
      <c r="J191" s="2">
        <f t="shared" si="3"/>
        <v>10139.5</v>
      </c>
      <c r="K191" s="2">
        <f t="shared" si="4"/>
        <v>172371500</v>
      </c>
      <c r="L191" s="2">
        <f t="shared" si="1"/>
        <v>37488628500</v>
      </c>
    </row>
    <row r="192" spans="1:12" ht="15.75" customHeight="1" x14ac:dyDescent="0.3">
      <c r="A192" s="1" t="s">
        <v>13</v>
      </c>
      <c r="B192" s="1" t="s">
        <v>38</v>
      </c>
      <c r="C192" s="1">
        <v>1767.01</v>
      </c>
      <c r="D192" s="1">
        <v>2022</v>
      </c>
      <c r="E192" s="1">
        <f t="shared" ca="1" si="0"/>
        <v>0.8936541485284315</v>
      </c>
      <c r="F192" s="2">
        <v>50000</v>
      </c>
      <c r="G192" s="2">
        <f t="shared" si="2"/>
        <v>88350500000</v>
      </c>
      <c r="H192" s="4">
        <v>29</v>
      </c>
      <c r="I192" s="1">
        <v>9800</v>
      </c>
      <c r="J192" s="2">
        <f t="shared" si="3"/>
        <v>51243.29</v>
      </c>
      <c r="K192" s="2">
        <f t="shared" si="4"/>
        <v>502184242</v>
      </c>
      <c r="L192" s="2">
        <f t="shared" si="1"/>
        <v>87848315758</v>
      </c>
    </row>
    <row r="193" spans="1:12" ht="15.75" customHeight="1" x14ac:dyDescent="0.3">
      <c r="A193" s="1" t="s">
        <v>15</v>
      </c>
      <c r="B193" s="1" t="s">
        <v>35</v>
      </c>
      <c r="C193" s="1">
        <v>1048.29</v>
      </c>
      <c r="D193" s="1">
        <v>2020</v>
      </c>
      <c r="E193" s="1">
        <f t="shared" ca="1" si="0"/>
        <v>0.25964758115170927</v>
      </c>
      <c r="F193" s="2">
        <v>34000</v>
      </c>
      <c r="G193" s="2">
        <f t="shared" si="2"/>
        <v>35641860000</v>
      </c>
      <c r="H193" s="4">
        <v>25</v>
      </c>
      <c r="I193" s="1">
        <v>9000</v>
      </c>
      <c r="J193" s="2">
        <f t="shared" si="3"/>
        <v>26207.25</v>
      </c>
      <c r="K193" s="2">
        <f t="shared" si="4"/>
        <v>235865250</v>
      </c>
      <c r="L193" s="2">
        <f t="shared" si="1"/>
        <v>35405994750</v>
      </c>
    </row>
    <row r="194" spans="1:12" ht="15.75" customHeight="1" x14ac:dyDescent="0.3">
      <c r="A194" s="1" t="s">
        <v>15</v>
      </c>
      <c r="B194" s="1" t="s">
        <v>47</v>
      </c>
      <c r="C194" s="1">
        <v>19360.75</v>
      </c>
      <c r="D194" s="1">
        <v>2020</v>
      </c>
      <c r="E194" s="1">
        <f t="shared" ca="1" si="0"/>
        <v>0.37374421149289405</v>
      </c>
      <c r="F194" s="2">
        <v>34000</v>
      </c>
      <c r="G194" s="2">
        <f t="shared" si="2"/>
        <v>658265500000</v>
      </c>
      <c r="H194" s="4">
        <v>25</v>
      </c>
      <c r="I194" s="1">
        <v>9000</v>
      </c>
      <c r="J194" s="2">
        <f t="shared" si="3"/>
        <v>484018.75</v>
      </c>
      <c r="K194" s="2">
        <f t="shared" si="4"/>
        <v>4356168750</v>
      </c>
      <c r="L194" s="2">
        <f t="shared" si="1"/>
        <v>653909331250</v>
      </c>
    </row>
    <row r="195" spans="1:12" ht="15.75" customHeight="1" x14ac:dyDescent="0.3">
      <c r="A195" s="1" t="s">
        <v>13</v>
      </c>
      <c r="B195" s="1" t="s">
        <v>22</v>
      </c>
      <c r="C195" s="1">
        <v>735.93</v>
      </c>
      <c r="D195" s="1">
        <v>2021</v>
      </c>
      <c r="E195" s="1">
        <f t="shared" ca="1" si="0"/>
        <v>0.18410594520920731</v>
      </c>
      <c r="F195" s="2">
        <v>50000</v>
      </c>
      <c r="G195" s="2">
        <f t="shared" si="2"/>
        <v>36796500000</v>
      </c>
      <c r="H195" s="4">
        <v>26</v>
      </c>
      <c r="I195" s="1">
        <v>9800</v>
      </c>
      <c r="J195" s="2">
        <f t="shared" si="3"/>
        <v>19134.18</v>
      </c>
      <c r="K195" s="2">
        <f t="shared" si="4"/>
        <v>187514964</v>
      </c>
      <c r="L195" s="2">
        <f t="shared" si="1"/>
        <v>36608985036</v>
      </c>
    </row>
    <row r="196" spans="1:12" ht="15.75" customHeight="1" x14ac:dyDescent="0.3">
      <c r="A196" s="1" t="s">
        <v>17</v>
      </c>
      <c r="B196" s="1" t="s">
        <v>34</v>
      </c>
      <c r="C196" s="1">
        <v>405.3</v>
      </c>
      <c r="D196" s="1">
        <v>2022</v>
      </c>
      <c r="E196" s="1">
        <f t="shared" ca="1" si="0"/>
        <v>3.0485953621978701E-2</v>
      </c>
      <c r="F196" s="2">
        <v>130000</v>
      </c>
      <c r="G196" s="2">
        <f t="shared" si="2"/>
        <v>52689000000</v>
      </c>
      <c r="H196" s="4">
        <v>37</v>
      </c>
      <c r="I196" s="1">
        <v>17000</v>
      </c>
      <c r="J196" s="2">
        <f t="shared" si="3"/>
        <v>14996.1</v>
      </c>
      <c r="K196" s="2">
        <f t="shared" si="4"/>
        <v>254933700</v>
      </c>
      <c r="L196" s="2">
        <f t="shared" si="1"/>
        <v>52434066300</v>
      </c>
    </row>
    <row r="197" spans="1:12" ht="15.75" customHeight="1" x14ac:dyDescent="0.3">
      <c r="A197" s="1" t="s">
        <v>24</v>
      </c>
      <c r="B197" s="1" t="s">
        <v>33</v>
      </c>
      <c r="C197" s="1">
        <v>0</v>
      </c>
      <c r="D197" s="1">
        <v>2021</v>
      </c>
      <c r="E197" s="1">
        <f t="shared" ca="1" si="0"/>
        <v>0.9818180900946164</v>
      </c>
      <c r="F197" s="2">
        <v>68000</v>
      </c>
      <c r="G197" s="2">
        <f t="shared" si="2"/>
        <v>0</v>
      </c>
      <c r="H197" s="4">
        <v>33</v>
      </c>
      <c r="I197" s="1">
        <v>18000</v>
      </c>
      <c r="J197" s="2">
        <f t="shared" si="3"/>
        <v>0</v>
      </c>
      <c r="K197" s="2">
        <f t="shared" si="4"/>
        <v>0</v>
      </c>
      <c r="L197" s="2">
        <f t="shared" si="1"/>
        <v>0</v>
      </c>
    </row>
    <row r="198" spans="1:12" ht="15.75" customHeight="1" x14ac:dyDescent="0.3">
      <c r="A198" s="1" t="s">
        <v>15</v>
      </c>
      <c r="B198" s="1" t="s">
        <v>33</v>
      </c>
      <c r="C198" s="1">
        <v>1405.4</v>
      </c>
      <c r="D198" s="1">
        <v>2020</v>
      </c>
      <c r="E198" s="1">
        <f t="shared" ca="1" si="0"/>
        <v>0.98662508761829115</v>
      </c>
      <c r="F198" s="2">
        <v>34000</v>
      </c>
      <c r="G198" s="2">
        <f t="shared" si="2"/>
        <v>47783600000</v>
      </c>
      <c r="H198" s="4">
        <v>25</v>
      </c>
      <c r="I198" s="1">
        <v>9000</v>
      </c>
      <c r="J198" s="2">
        <f t="shared" si="3"/>
        <v>35135</v>
      </c>
      <c r="K198" s="2">
        <f t="shared" si="4"/>
        <v>316215000</v>
      </c>
      <c r="L198" s="2">
        <f t="shared" si="1"/>
        <v>47467385000</v>
      </c>
    </row>
    <row r="199" spans="1:12" ht="15.75" customHeight="1" x14ac:dyDescent="0.3">
      <c r="A199" s="1" t="s">
        <v>15</v>
      </c>
      <c r="B199" s="1" t="s">
        <v>34</v>
      </c>
      <c r="C199" s="1">
        <v>303344.86</v>
      </c>
      <c r="D199" s="1">
        <v>2021</v>
      </c>
      <c r="E199" s="1">
        <f t="shared" ca="1" si="0"/>
        <v>0.24017059269153129</v>
      </c>
      <c r="F199" s="2">
        <v>34000</v>
      </c>
      <c r="G199" s="2">
        <f t="shared" si="2"/>
        <v>10313725240000</v>
      </c>
      <c r="H199" s="4">
        <v>21</v>
      </c>
      <c r="I199" s="1">
        <v>9000</v>
      </c>
      <c r="J199" s="2">
        <f t="shared" si="3"/>
        <v>6370242.0599999996</v>
      </c>
      <c r="K199" s="2">
        <f t="shared" si="4"/>
        <v>57332178540</v>
      </c>
      <c r="L199" s="2">
        <f t="shared" si="1"/>
        <v>10256393061460</v>
      </c>
    </row>
    <row r="200" spans="1:12" ht="15.75" customHeight="1" x14ac:dyDescent="0.3">
      <c r="A200" s="1" t="s">
        <v>17</v>
      </c>
      <c r="B200" s="1" t="s">
        <v>39</v>
      </c>
      <c r="C200" s="1">
        <v>1724.61</v>
      </c>
      <c r="D200" s="1">
        <v>2020</v>
      </c>
      <c r="E200" s="1">
        <f t="shared" ca="1" si="0"/>
        <v>0.55179449249450241</v>
      </c>
      <c r="F200" s="2">
        <v>130000</v>
      </c>
      <c r="G200" s="2">
        <f t="shared" si="2"/>
        <v>224199300000</v>
      </c>
      <c r="H200" s="4">
        <v>35</v>
      </c>
      <c r="I200" s="1">
        <v>17000</v>
      </c>
      <c r="J200" s="2">
        <f t="shared" si="3"/>
        <v>60361.35</v>
      </c>
      <c r="K200" s="2">
        <f t="shared" si="4"/>
        <v>1026142950</v>
      </c>
      <c r="L200" s="2">
        <f t="shared" si="1"/>
        <v>223173157050</v>
      </c>
    </row>
    <row r="201" spans="1:12" ht="15.75" customHeight="1" x14ac:dyDescent="0.3">
      <c r="A201" s="1" t="s">
        <v>17</v>
      </c>
      <c r="B201" s="1" t="s">
        <v>44</v>
      </c>
      <c r="C201" s="1">
        <v>89.5</v>
      </c>
      <c r="D201" s="1">
        <v>2021</v>
      </c>
      <c r="E201" s="1">
        <f t="shared" ca="1" si="0"/>
        <v>0.56861303706503741</v>
      </c>
      <c r="F201" s="2">
        <v>130000</v>
      </c>
      <c r="G201" s="2">
        <f t="shared" si="2"/>
        <v>11635000000</v>
      </c>
      <c r="H201" s="4">
        <v>32</v>
      </c>
      <c r="I201" s="1">
        <v>17000</v>
      </c>
      <c r="J201" s="2">
        <f t="shared" si="3"/>
        <v>2864</v>
      </c>
      <c r="K201" s="2">
        <f t="shared" si="4"/>
        <v>48688000</v>
      </c>
      <c r="L201" s="2">
        <f t="shared" si="1"/>
        <v>11586312000</v>
      </c>
    </row>
    <row r="202" spans="1:12" ht="15.75" customHeight="1" x14ac:dyDescent="0.3">
      <c r="A202" s="1" t="s">
        <v>13</v>
      </c>
      <c r="B202" s="1" t="s">
        <v>48</v>
      </c>
      <c r="C202" s="1">
        <v>32892.06</v>
      </c>
      <c r="D202" s="1">
        <v>2021</v>
      </c>
      <c r="E202" s="1">
        <f t="shared" ca="1" si="0"/>
        <v>0.79587540284164993</v>
      </c>
      <c r="F202" s="2">
        <v>50000</v>
      </c>
      <c r="G202" s="2">
        <f t="shared" si="2"/>
        <v>1644602999999.9998</v>
      </c>
      <c r="H202" s="4">
        <v>26</v>
      </c>
      <c r="I202" s="1">
        <v>9800</v>
      </c>
      <c r="J202" s="2">
        <f t="shared" si="3"/>
        <v>855193.55999999994</v>
      </c>
      <c r="K202" s="2">
        <f t="shared" si="4"/>
        <v>8380896887.999999</v>
      </c>
      <c r="L202" s="2">
        <f t="shared" si="1"/>
        <v>1636222103111.9998</v>
      </c>
    </row>
    <row r="203" spans="1:12" ht="15.75" customHeight="1" x14ac:dyDescent="0.3">
      <c r="A203" s="1" t="s">
        <v>17</v>
      </c>
      <c r="B203" s="1" t="s">
        <v>26</v>
      </c>
      <c r="C203" s="1">
        <v>900.98</v>
      </c>
      <c r="D203" s="1">
        <v>2021</v>
      </c>
      <c r="E203" s="1">
        <f t="shared" ca="1" si="0"/>
        <v>0.33061962298532299</v>
      </c>
      <c r="F203" s="2">
        <v>130000</v>
      </c>
      <c r="G203" s="2">
        <f t="shared" si="2"/>
        <v>117127400000</v>
      </c>
      <c r="H203" s="4">
        <v>32</v>
      </c>
      <c r="I203" s="1">
        <v>17000</v>
      </c>
      <c r="J203" s="2">
        <f t="shared" si="3"/>
        <v>28831.360000000001</v>
      </c>
      <c r="K203" s="2">
        <f t="shared" si="4"/>
        <v>490133120</v>
      </c>
      <c r="L203" s="2">
        <f t="shared" si="1"/>
        <v>116637266880</v>
      </c>
    </row>
    <row r="204" spans="1:12" ht="15.75" customHeight="1" x14ac:dyDescent="0.3">
      <c r="A204" s="1" t="s">
        <v>20</v>
      </c>
      <c r="B204" s="1" t="s">
        <v>45</v>
      </c>
      <c r="C204" s="1">
        <v>1636.87</v>
      </c>
      <c r="D204" s="1">
        <v>2021</v>
      </c>
      <c r="E204" s="1">
        <f t="shared" ca="1" si="0"/>
        <v>0.73869327966569698</v>
      </c>
      <c r="F204" s="2">
        <v>150000</v>
      </c>
      <c r="G204" s="2">
        <f t="shared" si="2"/>
        <v>245530500000</v>
      </c>
      <c r="H204" s="4">
        <v>39</v>
      </c>
      <c r="I204" s="1">
        <v>17800</v>
      </c>
      <c r="J204" s="2">
        <f t="shared" si="3"/>
        <v>63837.929999999993</v>
      </c>
      <c r="K204" s="2">
        <f t="shared" si="4"/>
        <v>1136315153.9999998</v>
      </c>
      <c r="L204" s="2">
        <f t="shared" si="1"/>
        <v>244394184846</v>
      </c>
    </row>
    <row r="205" spans="1:12" ht="15.75" customHeight="1" x14ac:dyDescent="0.3">
      <c r="A205" s="1" t="s">
        <v>13</v>
      </c>
      <c r="B205" s="1" t="s">
        <v>45</v>
      </c>
      <c r="C205" s="1">
        <v>2532.44</v>
      </c>
      <c r="D205" s="1">
        <v>2021</v>
      </c>
      <c r="E205" s="1">
        <f t="shared" ca="1" si="0"/>
        <v>0.42287935716247804</v>
      </c>
      <c r="F205" s="2">
        <v>50000</v>
      </c>
      <c r="G205" s="2">
        <f t="shared" si="2"/>
        <v>126622000000</v>
      </c>
      <c r="H205" s="4">
        <v>26</v>
      </c>
      <c r="I205" s="1">
        <v>9800</v>
      </c>
      <c r="J205" s="2">
        <f t="shared" si="3"/>
        <v>65843.44</v>
      </c>
      <c r="K205" s="2">
        <f t="shared" si="4"/>
        <v>645265712</v>
      </c>
      <c r="L205" s="2">
        <f t="shared" si="1"/>
        <v>125976734288</v>
      </c>
    </row>
    <row r="206" spans="1:12" ht="15.75" customHeight="1" x14ac:dyDescent="0.3">
      <c r="A206" s="1" t="s">
        <v>17</v>
      </c>
      <c r="B206" s="1" t="s">
        <v>42</v>
      </c>
      <c r="C206" s="1">
        <v>392.82</v>
      </c>
      <c r="D206" s="1">
        <v>2021</v>
      </c>
      <c r="E206" s="1">
        <f t="shared" ca="1" si="0"/>
        <v>0.9992804018282776</v>
      </c>
      <c r="F206" s="2">
        <v>130000</v>
      </c>
      <c r="G206" s="2">
        <f t="shared" si="2"/>
        <v>51066600000</v>
      </c>
      <c r="H206" s="4">
        <v>32</v>
      </c>
      <c r="I206" s="1">
        <v>17000</v>
      </c>
      <c r="J206" s="2">
        <f t="shared" si="3"/>
        <v>12570.24</v>
      </c>
      <c r="K206" s="2">
        <f t="shared" si="4"/>
        <v>213694080</v>
      </c>
      <c r="L206" s="2">
        <f t="shared" si="1"/>
        <v>50852905920</v>
      </c>
    </row>
    <row r="207" spans="1:12" ht="15.75" customHeight="1" x14ac:dyDescent="0.3">
      <c r="A207" s="1" t="s">
        <v>24</v>
      </c>
      <c r="B207" s="1" t="s">
        <v>14</v>
      </c>
      <c r="C207" s="1">
        <v>6191.65</v>
      </c>
      <c r="D207" s="1">
        <v>2022</v>
      </c>
      <c r="E207" s="1">
        <f t="shared" ca="1" si="0"/>
        <v>0.31511227875590642</v>
      </c>
      <c r="F207" s="2">
        <v>68000</v>
      </c>
      <c r="G207" s="2">
        <f t="shared" si="2"/>
        <v>421032200000</v>
      </c>
      <c r="H207" s="4">
        <v>28</v>
      </c>
      <c r="I207" s="1">
        <v>18000</v>
      </c>
      <c r="J207" s="2">
        <f t="shared" si="3"/>
        <v>173366.19999999998</v>
      </c>
      <c r="K207" s="2">
        <f t="shared" si="4"/>
        <v>3120591599.9999995</v>
      </c>
      <c r="L207" s="2">
        <f t="shared" si="1"/>
        <v>417911608400</v>
      </c>
    </row>
    <row r="208" spans="1:12" ht="15.75" customHeight="1" x14ac:dyDescent="0.3">
      <c r="A208" s="1" t="s">
        <v>20</v>
      </c>
      <c r="B208" s="1" t="s">
        <v>19</v>
      </c>
      <c r="C208" s="1">
        <v>16277.51</v>
      </c>
      <c r="D208" s="1">
        <v>2022</v>
      </c>
      <c r="E208" s="1">
        <f t="shared" ca="1" si="0"/>
        <v>0.60040546077381518</v>
      </c>
      <c r="F208" s="2">
        <v>150000</v>
      </c>
      <c r="G208" s="2">
        <f t="shared" si="2"/>
        <v>2441626500000</v>
      </c>
      <c r="H208" s="4">
        <v>40</v>
      </c>
      <c r="I208" s="1">
        <v>17800</v>
      </c>
      <c r="J208" s="2">
        <f t="shared" si="3"/>
        <v>651100.4</v>
      </c>
      <c r="K208" s="2">
        <f t="shared" si="4"/>
        <v>11589587120</v>
      </c>
      <c r="L208" s="2">
        <f t="shared" si="1"/>
        <v>2430036912880</v>
      </c>
    </row>
    <row r="209" spans="1:12" ht="15.75" customHeight="1" x14ac:dyDescent="0.3">
      <c r="A209" s="1" t="s">
        <v>20</v>
      </c>
      <c r="B209" s="1" t="s">
        <v>50</v>
      </c>
      <c r="C209" s="1">
        <v>21130.03</v>
      </c>
      <c r="D209" s="1">
        <v>2021</v>
      </c>
      <c r="E209" s="1">
        <f t="shared" ca="1" si="0"/>
        <v>0.39576859877659565</v>
      </c>
      <c r="F209" s="2">
        <v>150000</v>
      </c>
      <c r="G209" s="2">
        <f t="shared" si="2"/>
        <v>3169504500000</v>
      </c>
      <c r="H209" s="4">
        <v>39</v>
      </c>
      <c r="I209" s="1">
        <v>17800</v>
      </c>
      <c r="J209" s="2">
        <f t="shared" si="3"/>
        <v>824071.16999999993</v>
      </c>
      <c r="K209" s="2">
        <f t="shared" si="4"/>
        <v>14668466825.999998</v>
      </c>
      <c r="L209" s="2">
        <f t="shared" si="1"/>
        <v>3154836033174</v>
      </c>
    </row>
    <row r="210" spans="1:12" ht="15.75" customHeight="1" x14ac:dyDescent="0.3">
      <c r="A210" s="1" t="s">
        <v>24</v>
      </c>
      <c r="B210" s="1" t="s">
        <v>19</v>
      </c>
      <c r="C210" s="1">
        <v>0.04</v>
      </c>
      <c r="D210" s="1">
        <v>2020</v>
      </c>
      <c r="E210" s="1">
        <f t="shared" ca="1" si="0"/>
        <v>0.1902938460246012</v>
      </c>
      <c r="F210" s="2">
        <v>68000</v>
      </c>
      <c r="G210" s="2">
        <f t="shared" si="2"/>
        <v>2720000</v>
      </c>
      <c r="H210" s="4">
        <v>31</v>
      </c>
      <c r="I210" s="1">
        <v>18000</v>
      </c>
      <c r="J210" s="2">
        <f t="shared" si="3"/>
        <v>1.24</v>
      </c>
      <c r="K210" s="2">
        <f t="shared" si="4"/>
        <v>22320</v>
      </c>
      <c r="L210" s="2">
        <f t="shared" si="1"/>
        <v>2697680</v>
      </c>
    </row>
    <row r="211" spans="1:12" ht="15.75" customHeight="1" x14ac:dyDescent="0.3">
      <c r="A211" s="1" t="s">
        <v>17</v>
      </c>
      <c r="B211" s="1" t="s">
        <v>43</v>
      </c>
      <c r="C211" s="1">
        <v>1763.06</v>
      </c>
      <c r="D211" s="1">
        <v>2021</v>
      </c>
      <c r="E211" s="1">
        <f t="shared" ca="1" si="0"/>
        <v>0.33033746099508177</v>
      </c>
      <c r="F211" s="2">
        <v>130000</v>
      </c>
      <c r="G211" s="2">
        <f t="shared" si="2"/>
        <v>229197800000</v>
      </c>
      <c r="H211" s="4">
        <v>32</v>
      </c>
      <c r="I211" s="1">
        <v>17000</v>
      </c>
      <c r="J211" s="2">
        <f t="shared" si="3"/>
        <v>56417.919999999998</v>
      </c>
      <c r="K211" s="2">
        <f t="shared" si="4"/>
        <v>959104640</v>
      </c>
      <c r="L211" s="2">
        <f t="shared" si="1"/>
        <v>228238695360</v>
      </c>
    </row>
    <row r="212" spans="1:12" ht="15.75" customHeight="1" x14ac:dyDescent="0.3">
      <c r="A212" s="1" t="s">
        <v>17</v>
      </c>
      <c r="B212" s="1" t="s">
        <v>36</v>
      </c>
      <c r="C212" s="1">
        <v>2292.46</v>
      </c>
      <c r="D212" s="1">
        <v>2021</v>
      </c>
      <c r="E212" s="1">
        <f t="shared" ca="1" si="0"/>
        <v>0.32001431090220112</v>
      </c>
      <c r="F212" s="2">
        <v>130000</v>
      </c>
      <c r="G212" s="2">
        <f t="shared" si="2"/>
        <v>298019800000</v>
      </c>
      <c r="H212" s="4">
        <v>32</v>
      </c>
      <c r="I212" s="1">
        <v>17000</v>
      </c>
      <c r="J212" s="2">
        <f t="shared" si="3"/>
        <v>73358.720000000001</v>
      </c>
      <c r="K212" s="2">
        <f t="shared" si="4"/>
        <v>1247098240</v>
      </c>
      <c r="L212" s="2">
        <f t="shared" si="1"/>
        <v>296772701760</v>
      </c>
    </row>
    <row r="213" spans="1:12" ht="15.75" customHeight="1" x14ac:dyDescent="0.3">
      <c r="A213" s="1" t="s">
        <v>15</v>
      </c>
      <c r="B213" s="1" t="s">
        <v>33</v>
      </c>
      <c r="C213" s="1">
        <v>1014.67</v>
      </c>
      <c r="D213" s="1">
        <v>2022</v>
      </c>
      <c r="E213" s="1">
        <f t="shared" ca="1" si="0"/>
        <v>0.5359481022848448</v>
      </c>
      <c r="F213" s="2">
        <v>34000</v>
      </c>
      <c r="G213" s="2">
        <f t="shared" si="2"/>
        <v>34498780000</v>
      </c>
      <c r="H213" s="4">
        <v>20</v>
      </c>
      <c r="I213" s="1">
        <v>9000</v>
      </c>
      <c r="J213" s="2">
        <f t="shared" si="3"/>
        <v>20293.399999999998</v>
      </c>
      <c r="K213" s="2">
        <f t="shared" si="4"/>
        <v>182640599.99999997</v>
      </c>
      <c r="L213" s="2">
        <f t="shared" si="1"/>
        <v>34316139400</v>
      </c>
    </row>
    <row r="214" spans="1:12" ht="15.75" customHeight="1" x14ac:dyDescent="0.3">
      <c r="A214" s="1" t="s">
        <v>15</v>
      </c>
      <c r="B214" s="1" t="s">
        <v>25</v>
      </c>
      <c r="C214" s="1">
        <v>1459.71</v>
      </c>
      <c r="D214" s="1">
        <v>2022</v>
      </c>
      <c r="E214" s="1">
        <f t="shared" ca="1" si="0"/>
        <v>0.57224457332290335</v>
      </c>
      <c r="F214" s="2">
        <v>34000</v>
      </c>
      <c r="G214" s="2">
        <f t="shared" si="2"/>
        <v>49630140000</v>
      </c>
      <c r="H214" s="4">
        <v>20</v>
      </c>
      <c r="I214" s="1">
        <v>9000</v>
      </c>
      <c r="J214" s="2">
        <f t="shared" si="3"/>
        <v>29194.2</v>
      </c>
      <c r="K214" s="2">
        <f t="shared" si="4"/>
        <v>262747800</v>
      </c>
      <c r="L214" s="2">
        <f t="shared" si="1"/>
        <v>49367392200</v>
      </c>
    </row>
    <row r="215" spans="1:12" ht="15.75" customHeight="1" x14ac:dyDescent="0.3">
      <c r="A215" s="1" t="s">
        <v>20</v>
      </c>
      <c r="B215" s="1" t="s">
        <v>44</v>
      </c>
      <c r="C215" s="1">
        <v>3169.39</v>
      </c>
      <c r="D215" s="1">
        <v>2022</v>
      </c>
      <c r="E215" s="1">
        <f t="shared" ca="1" si="0"/>
        <v>0.80504559151803845</v>
      </c>
      <c r="F215" s="2">
        <v>150000</v>
      </c>
      <c r="G215" s="2">
        <f t="shared" si="2"/>
        <v>475408500000</v>
      </c>
      <c r="H215" s="4">
        <v>40</v>
      </c>
      <c r="I215" s="1">
        <v>17800</v>
      </c>
      <c r="J215" s="2">
        <f t="shared" si="3"/>
        <v>126775.59999999999</v>
      </c>
      <c r="K215" s="2">
        <f t="shared" si="4"/>
        <v>2256605680</v>
      </c>
      <c r="L215" s="2">
        <f t="shared" si="1"/>
        <v>473151894320</v>
      </c>
    </row>
    <row r="216" spans="1:12" ht="15.75" customHeight="1" x14ac:dyDescent="0.3">
      <c r="A216" s="1" t="s">
        <v>20</v>
      </c>
      <c r="B216" s="1" t="s">
        <v>14</v>
      </c>
      <c r="C216" s="1">
        <v>110991.18</v>
      </c>
      <c r="D216" s="1">
        <v>2022</v>
      </c>
      <c r="E216" s="1">
        <f t="shared" ca="1" si="0"/>
        <v>0.1862169064945195</v>
      </c>
      <c r="F216" s="2">
        <v>150000</v>
      </c>
      <c r="G216" s="2">
        <f t="shared" si="2"/>
        <v>16648677000000</v>
      </c>
      <c r="H216" s="4">
        <v>40</v>
      </c>
      <c r="I216" s="1">
        <v>17800</v>
      </c>
      <c r="J216" s="2">
        <f t="shared" si="3"/>
        <v>4439647.1999999993</v>
      </c>
      <c r="K216" s="2">
        <f t="shared" si="4"/>
        <v>79025720159.999985</v>
      </c>
      <c r="L216" s="2">
        <f t="shared" si="1"/>
        <v>16569651279840</v>
      </c>
    </row>
    <row r="217" spans="1:12" ht="15.75" customHeight="1" x14ac:dyDescent="0.3">
      <c r="A217" s="1" t="s">
        <v>13</v>
      </c>
      <c r="B217" s="1" t="s">
        <v>49</v>
      </c>
      <c r="C217" s="1">
        <v>9649.8700000000008</v>
      </c>
      <c r="D217" s="1">
        <v>2020</v>
      </c>
      <c r="E217" s="1">
        <f t="shared" ca="1" si="0"/>
        <v>0.34551363470841345</v>
      </c>
      <c r="F217" s="2">
        <v>50000</v>
      </c>
      <c r="G217" s="2">
        <f t="shared" si="2"/>
        <v>482493500000</v>
      </c>
      <c r="H217" s="4">
        <v>27</v>
      </c>
      <c r="I217" s="1">
        <v>9800</v>
      </c>
      <c r="J217" s="2">
        <f t="shared" si="3"/>
        <v>260546.49000000002</v>
      </c>
      <c r="K217" s="2">
        <f t="shared" si="4"/>
        <v>2553355602</v>
      </c>
      <c r="L217" s="2">
        <f t="shared" si="1"/>
        <v>479940144398</v>
      </c>
    </row>
    <row r="218" spans="1:12" ht="15.75" customHeight="1" x14ac:dyDescent="0.3">
      <c r="A218" s="1" t="s">
        <v>24</v>
      </c>
      <c r="B218" s="1" t="s">
        <v>39</v>
      </c>
      <c r="C218" s="1">
        <v>0</v>
      </c>
      <c r="D218" s="1">
        <v>2022</v>
      </c>
      <c r="E218" s="1">
        <f t="shared" ca="1" si="0"/>
        <v>0.58104688914651592</v>
      </c>
      <c r="F218" s="2">
        <v>68000</v>
      </c>
      <c r="G218" s="2">
        <f t="shared" si="2"/>
        <v>0</v>
      </c>
      <c r="H218" s="4">
        <v>28</v>
      </c>
      <c r="I218" s="1">
        <v>18000</v>
      </c>
      <c r="J218" s="2">
        <f t="shared" si="3"/>
        <v>0</v>
      </c>
      <c r="K218" s="2">
        <f t="shared" si="4"/>
        <v>0</v>
      </c>
      <c r="L218" s="2">
        <f t="shared" si="1"/>
        <v>0</v>
      </c>
    </row>
    <row r="219" spans="1:12" ht="15.75" customHeight="1" x14ac:dyDescent="0.3">
      <c r="A219" s="1" t="s">
        <v>15</v>
      </c>
      <c r="B219" s="1" t="s">
        <v>44</v>
      </c>
      <c r="C219" s="1">
        <v>30760.560000000001</v>
      </c>
      <c r="D219" s="1">
        <v>2022</v>
      </c>
      <c r="E219" s="1">
        <f t="shared" ca="1" si="0"/>
        <v>0.88280272066679211</v>
      </c>
      <c r="F219" s="2">
        <v>34000</v>
      </c>
      <c r="G219" s="2">
        <f t="shared" si="2"/>
        <v>1045859040000</v>
      </c>
      <c r="H219" s="4">
        <v>20</v>
      </c>
      <c r="I219" s="1">
        <v>9000</v>
      </c>
      <c r="J219" s="2">
        <f t="shared" si="3"/>
        <v>615211.20000000007</v>
      </c>
      <c r="K219" s="2">
        <f t="shared" si="4"/>
        <v>5536900800.000001</v>
      </c>
      <c r="L219" s="2">
        <f t="shared" si="1"/>
        <v>1040322139200</v>
      </c>
    </row>
    <row r="220" spans="1:12" ht="15.75" customHeight="1" x14ac:dyDescent="0.3">
      <c r="A220" s="1" t="s">
        <v>13</v>
      </c>
      <c r="B220" s="1" t="s">
        <v>18</v>
      </c>
      <c r="C220" s="1">
        <v>1275.1400000000001</v>
      </c>
      <c r="D220" s="1">
        <v>2022</v>
      </c>
      <c r="E220" s="1">
        <f t="shared" ca="1" si="0"/>
        <v>0.34390648203194796</v>
      </c>
      <c r="F220" s="2">
        <v>50000</v>
      </c>
      <c r="G220" s="2">
        <f t="shared" si="2"/>
        <v>63757000000</v>
      </c>
      <c r="H220" s="4">
        <v>29</v>
      </c>
      <c r="I220" s="1">
        <v>9800</v>
      </c>
      <c r="J220" s="2">
        <f t="shared" si="3"/>
        <v>36979.060000000005</v>
      </c>
      <c r="K220" s="2">
        <f t="shared" si="4"/>
        <v>362394788.00000006</v>
      </c>
      <c r="L220" s="2">
        <f t="shared" si="1"/>
        <v>63394605212</v>
      </c>
    </row>
    <row r="221" spans="1:12" ht="15.75" customHeight="1" x14ac:dyDescent="0.3">
      <c r="A221" s="1" t="s">
        <v>15</v>
      </c>
      <c r="B221" s="1" t="s">
        <v>50</v>
      </c>
      <c r="C221" s="1">
        <v>193270.51</v>
      </c>
      <c r="D221" s="1">
        <v>2020</v>
      </c>
      <c r="E221" s="1">
        <f t="shared" ca="1" si="0"/>
        <v>0.64236993020984079</v>
      </c>
      <c r="F221" s="2">
        <v>34000</v>
      </c>
      <c r="G221" s="2">
        <f t="shared" si="2"/>
        <v>6571197340000</v>
      </c>
      <c r="H221" s="4">
        <v>25</v>
      </c>
      <c r="I221" s="1">
        <v>9000</v>
      </c>
      <c r="J221" s="2">
        <f t="shared" si="3"/>
        <v>4831762.75</v>
      </c>
      <c r="K221" s="2">
        <f t="shared" si="4"/>
        <v>43485864750</v>
      </c>
      <c r="L221" s="2">
        <f t="shared" si="1"/>
        <v>6527711475250</v>
      </c>
    </row>
    <row r="222" spans="1:12" ht="15.75" customHeight="1" x14ac:dyDescent="0.3">
      <c r="A222" s="1" t="s">
        <v>20</v>
      </c>
      <c r="B222" s="1" t="s">
        <v>34</v>
      </c>
      <c r="C222" s="1">
        <v>21514.66</v>
      </c>
      <c r="D222" s="1">
        <v>2022</v>
      </c>
      <c r="E222" s="1">
        <f t="shared" ca="1" si="0"/>
        <v>0.13549014443308505</v>
      </c>
      <c r="F222" s="2">
        <v>150000</v>
      </c>
      <c r="G222" s="2">
        <f t="shared" si="2"/>
        <v>3227199000000</v>
      </c>
      <c r="H222" s="4">
        <v>40</v>
      </c>
      <c r="I222" s="1">
        <v>17800</v>
      </c>
      <c r="J222" s="2">
        <f t="shared" si="3"/>
        <v>860586.4</v>
      </c>
      <c r="K222" s="2">
        <f t="shared" si="4"/>
        <v>15318437920</v>
      </c>
      <c r="L222" s="2">
        <f t="shared" si="1"/>
        <v>3211880562080</v>
      </c>
    </row>
    <row r="223" spans="1:12" ht="15.75" customHeight="1" x14ac:dyDescent="0.3">
      <c r="A223" s="1" t="s">
        <v>20</v>
      </c>
      <c r="B223" s="1" t="s">
        <v>41</v>
      </c>
      <c r="C223" s="1">
        <v>8948.7000000000007</v>
      </c>
      <c r="D223" s="1">
        <v>2021</v>
      </c>
      <c r="E223" s="1">
        <f t="shared" ca="1" si="0"/>
        <v>0.21222819024904516</v>
      </c>
      <c r="F223" s="2">
        <v>150000</v>
      </c>
      <c r="G223" s="2">
        <f t="shared" si="2"/>
        <v>1342305000000</v>
      </c>
      <c r="H223" s="4">
        <v>39</v>
      </c>
      <c r="I223" s="1">
        <v>17800</v>
      </c>
      <c r="J223" s="2">
        <f t="shared" si="3"/>
        <v>348999.30000000005</v>
      </c>
      <c r="K223" s="2">
        <f t="shared" si="4"/>
        <v>6212187540.000001</v>
      </c>
      <c r="L223" s="2">
        <f t="shared" si="1"/>
        <v>1336092812460</v>
      </c>
    </row>
    <row r="224" spans="1:12" ht="15.75" customHeight="1" x14ac:dyDescent="0.3">
      <c r="A224" s="1" t="s">
        <v>15</v>
      </c>
      <c r="B224" s="1" t="s">
        <v>14</v>
      </c>
      <c r="C224" s="1">
        <v>1314114.93</v>
      </c>
      <c r="D224" s="1">
        <v>2022</v>
      </c>
      <c r="E224" s="1">
        <f t="shared" ca="1" si="0"/>
        <v>0.20999648947931104</v>
      </c>
      <c r="F224" s="2">
        <v>34000</v>
      </c>
      <c r="G224" s="2">
        <f t="shared" si="2"/>
        <v>44679907620000</v>
      </c>
      <c r="H224" s="4">
        <v>20</v>
      </c>
      <c r="I224" s="1">
        <v>9000</v>
      </c>
      <c r="J224" s="2">
        <f t="shared" si="3"/>
        <v>26282298.599999998</v>
      </c>
      <c r="K224" s="2">
        <f t="shared" si="4"/>
        <v>236540687399.99997</v>
      </c>
      <c r="L224" s="2">
        <f t="shared" si="1"/>
        <v>44443366932600</v>
      </c>
    </row>
    <row r="225" spans="1:12" ht="15.75" customHeight="1" x14ac:dyDescent="0.3">
      <c r="A225" s="1" t="s">
        <v>13</v>
      </c>
      <c r="B225" s="1" t="s">
        <v>34</v>
      </c>
      <c r="C225" s="1">
        <v>6762.01</v>
      </c>
      <c r="D225" s="1">
        <v>2021</v>
      </c>
      <c r="E225" s="1">
        <f t="shared" ca="1" si="0"/>
        <v>0.47933624463185209</v>
      </c>
      <c r="F225" s="2">
        <v>50000</v>
      </c>
      <c r="G225" s="2">
        <f t="shared" si="2"/>
        <v>338100500000</v>
      </c>
      <c r="H225" s="4">
        <v>26</v>
      </c>
      <c r="I225" s="1">
        <v>9800</v>
      </c>
      <c r="J225" s="2">
        <f t="shared" si="3"/>
        <v>175812.26</v>
      </c>
      <c r="K225" s="2">
        <f t="shared" si="4"/>
        <v>1722960148</v>
      </c>
      <c r="L225" s="2">
        <f t="shared" si="1"/>
        <v>336377539852</v>
      </c>
    </row>
    <row r="226" spans="1:12" ht="15.75" customHeight="1" x14ac:dyDescent="0.3">
      <c r="A226" s="1" t="s">
        <v>13</v>
      </c>
      <c r="B226" s="1" t="s">
        <v>32</v>
      </c>
      <c r="C226" s="1">
        <v>291.89</v>
      </c>
      <c r="D226" s="1">
        <v>2022</v>
      </c>
      <c r="E226" s="1">
        <f t="shared" ca="1" si="0"/>
        <v>0.30245010207354495</v>
      </c>
      <c r="F226" s="2">
        <v>50000</v>
      </c>
      <c r="G226" s="2">
        <f t="shared" si="2"/>
        <v>14594500000</v>
      </c>
      <c r="H226" s="4">
        <v>29</v>
      </c>
      <c r="I226" s="1">
        <v>9800</v>
      </c>
      <c r="J226" s="2">
        <f t="shared" si="3"/>
        <v>8464.81</v>
      </c>
      <c r="K226" s="2">
        <f t="shared" si="4"/>
        <v>82955138</v>
      </c>
      <c r="L226" s="2">
        <f t="shared" si="1"/>
        <v>14511544862</v>
      </c>
    </row>
    <row r="227" spans="1:12" ht="15.75" customHeight="1" x14ac:dyDescent="0.3">
      <c r="A227" s="1" t="s">
        <v>15</v>
      </c>
      <c r="B227" s="1" t="s">
        <v>40</v>
      </c>
      <c r="C227" s="1">
        <v>5229.9799999999996</v>
      </c>
      <c r="D227" s="1">
        <v>2021</v>
      </c>
      <c r="E227" s="1">
        <f t="shared" ca="1" si="0"/>
        <v>0.8258478497448033</v>
      </c>
      <c r="F227" s="2">
        <v>34000</v>
      </c>
      <c r="G227" s="2">
        <f t="shared" si="2"/>
        <v>177819320000</v>
      </c>
      <c r="H227" s="4">
        <v>21</v>
      </c>
      <c r="I227" s="1">
        <v>9000</v>
      </c>
      <c r="J227" s="2">
        <f t="shared" si="3"/>
        <v>109829.57999999999</v>
      </c>
      <c r="K227" s="2">
        <f t="shared" si="4"/>
        <v>988466219.99999988</v>
      </c>
      <c r="L227" s="2">
        <f t="shared" si="1"/>
        <v>176830853780</v>
      </c>
    </row>
    <row r="228" spans="1:12" ht="15.75" customHeight="1" x14ac:dyDescent="0.3">
      <c r="A228" s="1" t="s">
        <v>20</v>
      </c>
      <c r="B228" s="1" t="s">
        <v>31</v>
      </c>
      <c r="C228" s="1">
        <v>5543.42</v>
      </c>
      <c r="D228" s="1">
        <v>2020</v>
      </c>
      <c r="E228" s="1">
        <f t="shared" ca="1" si="0"/>
        <v>6.9638471884151398E-3</v>
      </c>
      <c r="F228" s="2">
        <v>150000</v>
      </c>
      <c r="G228" s="2">
        <f t="shared" si="2"/>
        <v>831513000000</v>
      </c>
      <c r="H228" s="4">
        <v>38</v>
      </c>
      <c r="I228" s="1">
        <v>17800</v>
      </c>
      <c r="J228" s="2">
        <f t="shared" si="3"/>
        <v>210649.96</v>
      </c>
      <c r="K228" s="2">
        <f t="shared" si="4"/>
        <v>3749569288</v>
      </c>
      <c r="L228" s="2">
        <f t="shared" si="1"/>
        <v>827763430712</v>
      </c>
    </row>
    <row r="229" spans="1:12" ht="15.75" customHeight="1" x14ac:dyDescent="0.3">
      <c r="A229" s="1" t="s">
        <v>20</v>
      </c>
      <c r="B229" s="1" t="s">
        <v>37</v>
      </c>
      <c r="C229" s="1">
        <v>3475.2</v>
      </c>
      <c r="D229" s="1">
        <v>2020</v>
      </c>
      <c r="E229" s="1">
        <f t="shared" ca="1" si="0"/>
        <v>0.48110282709325569</v>
      </c>
      <c r="F229" s="2">
        <v>150000</v>
      </c>
      <c r="G229" s="2">
        <f t="shared" si="2"/>
        <v>521280000000</v>
      </c>
      <c r="H229" s="4">
        <v>38</v>
      </c>
      <c r="I229" s="1">
        <v>17800</v>
      </c>
      <c r="J229" s="2">
        <f t="shared" si="3"/>
        <v>132057.60000000001</v>
      </c>
      <c r="K229" s="2">
        <f t="shared" si="4"/>
        <v>2350625280</v>
      </c>
      <c r="L229" s="2">
        <f t="shared" si="1"/>
        <v>518929374720</v>
      </c>
    </row>
    <row r="230" spans="1:12" ht="15.75" customHeight="1" x14ac:dyDescent="0.3">
      <c r="A230" s="1" t="s">
        <v>24</v>
      </c>
      <c r="B230" s="1" t="s">
        <v>50</v>
      </c>
      <c r="C230" s="1">
        <v>112.05</v>
      </c>
      <c r="D230" s="1">
        <v>2020</v>
      </c>
      <c r="E230" s="1">
        <f t="shared" ca="1" si="0"/>
        <v>0.88432409930370537</v>
      </c>
      <c r="F230" s="2">
        <v>68000</v>
      </c>
      <c r="G230" s="2">
        <f t="shared" si="2"/>
        <v>7619400000</v>
      </c>
      <c r="H230" s="4">
        <v>31</v>
      </c>
      <c r="I230" s="1">
        <v>18000</v>
      </c>
      <c r="J230" s="2">
        <f t="shared" si="3"/>
        <v>3473.5499999999997</v>
      </c>
      <c r="K230" s="2">
        <f t="shared" si="4"/>
        <v>62523899.999999993</v>
      </c>
      <c r="L230" s="2">
        <f t="shared" si="1"/>
        <v>7556876100</v>
      </c>
    </row>
    <row r="231" spans="1:12" ht="15.75" customHeight="1" x14ac:dyDescent="0.3">
      <c r="A231" s="1" t="s">
        <v>17</v>
      </c>
      <c r="B231" s="1" t="s">
        <v>28</v>
      </c>
      <c r="C231" s="1">
        <v>83.24</v>
      </c>
      <c r="D231" s="1">
        <v>2022</v>
      </c>
      <c r="E231" s="1">
        <f t="shared" ca="1" si="0"/>
        <v>0.3406328810817234</v>
      </c>
      <c r="F231" s="2">
        <v>130000</v>
      </c>
      <c r="G231" s="2">
        <f t="shared" si="2"/>
        <v>10821200000</v>
      </c>
      <c r="H231" s="4">
        <v>37</v>
      </c>
      <c r="I231" s="1">
        <v>17000</v>
      </c>
      <c r="J231" s="2">
        <f t="shared" si="3"/>
        <v>3079.8799999999997</v>
      </c>
      <c r="K231" s="2">
        <f t="shared" si="4"/>
        <v>52357959.999999993</v>
      </c>
      <c r="L231" s="2">
        <f t="shared" si="1"/>
        <v>10768842040</v>
      </c>
    </row>
    <row r="232" spans="1:12" ht="15.75" customHeight="1" x14ac:dyDescent="0.3">
      <c r="A232" s="1" t="s">
        <v>13</v>
      </c>
      <c r="B232" s="1" t="s">
        <v>22</v>
      </c>
      <c r="C232" s="1">
        <v>743.83</v>
      </c>
      <c r="D232" s="1">
        <v>2020</v>
      </c>
      <c r="E232" s="1">
        <f t="shared" ca="1" si="0"/>
        <v>0.50164865416287552</v>
      </c>
      <c r="F232" s="2">
        <v>50000</v>
      </c>
      <c r="G232" s="2">
        <f t="shared" si="2"/>
        <v>37191500000</v>
      </c>
      <c r="H232" s="4">
        <v>27</v>
      </c>
      <c r="I232" s="1">
        <v>9800</v>
      </c>
      <c r="J232" s="2">
        <f t="shared" si="3"/>
        <v>20083.41</v>
      </c>
      <c r="K232" s="2">
        <f t="shared" si="4"/>
        <v>196817418</v>
      </c>
      <c r="L232" s="2">
        <f t="shared" si="1"/>
        <v>36994682582</v>
      </c>
    </row>
    <row r="233" spans="1:12" ht="15.75" customHeight="1" x14ac:dyDescent="0.3">
      <c r="A233" s="1" t="s">
        <v>13</v>
      </c>
      <c r="B233" s="1" t="s">
        <v>41</v>
      </c>
      <c r="C233" s="1">
        <v>1658.15</v>
      </c>
      <c r="D233" s="1">
        <v>2021</v>
      </c>
      <c r="E233" s="1">
        <f t="shared" ca="1" si="0"/>
        <v>0.26561184826694484</v>
      </c>
      <c r="F233" s="2">
        <v>50000</v>
      </c>
      <c r="G233" s="2">
        <f t="shared" si="2"/>
        <v>82907500000</v>
      </c>
      <c r="H233" s="4">
        <v>26</v>
      </c>
      <c r="I233" s="1">
        <v>9800</v>
      </c>
      <c r="J233" s="2">
        <f t="shared" si="3"/>
        <v>43111.9</v>
      </c>
      <c r="K233" s="2">
        <f t="shared" si="4"/>
        <v>422496620</v>
      </c>
      <c r="L233" s="2">
        <f t="shared" si="1"/>
        <v>82485003380</v>
      </c>
    </row>
    <row r="234" spans="1:12" ht="15.75" customHeight="1" x14ac:dyDescent="0.3">
      <c r="A234" s="1" t="s">
        <v>15</v>
      </c>
      <c r="B234" s="1" t="s">
        <v>45</v>
      </c>
      <c r="C234" s="1">
        <v>164.85</v>
      </c>
      <c r="D234" s="1">
        <v>2021</v>
      </c>
      <c r="E234" s="1">
        <f t="shared" ca="1" si="0"/>
        <v>0.4615506564114249</v>
      </c>
      <c r="F234" s="2">
        <v>34000</v>
      </c>
      <c r="G234" s="2">
        <f t="shared" si="2"/>
        <v>5604900000</v>
      </c>
      <c r="H234" s="4">
        <v>21</v>
      </c>
      <c r="I234" s="1">
        <v>9000</v>
      </c>
      <c r="J234" s="2">
        <f t="shared" si="3"/>
        <v>3461.85</v>
      </c>
      <c r="K234" s="2">
        <f t="shared" si="4"/>
        <v>31156650</v>
      </c>
      <c r="L234" s="2">
        <f t="shared" si="1"/>
        <v>5573743350</v>
      </c>
    </row>
    <row r="235" spans="1:12" ht="15.75" customHeight="1" x14ac:dyDescent="0.3">
      <c r="A235" s="1" t="s">
        <v>17</v>
      </c>
      <c r="B235" s="1" t="s">
        <v>27</v>
      </c>
      <c r="C235" s="1">
        <v>170.33</v>
      </c>
      <c r="D235" s="1">
        <v>2021</v>
      </c>
      <c r="E235" s="1">
        <f t="shared" ca="1" si="0"/>
        <v>0.39836034905278173</v>
      </c>
      <c r="F235" s="2">
        <v>130000</v>
      </c>
      <c r="G235" s="2">
        <f t="shared" si="2"/>
        <v>22142900000</v>
      </c>
      <c r="H235" s="4">
        <v>32</v>
      </c>
      <c r="I235" s="1">
        <v>17000</v>
      </c>
      <c r="J235" s="2">
        <f t="shared" si="3"/>
        <v>5450.56</v>
      </c>
      <c r="K235" s="2">
        <f t="shared" si="4"/>
        <v>92659520</v>
      </c>
      <c r="L235" s="2">
        <f t="shared" si="1"/>
        <v>22050240480</v>
      </c>
    </row>
    <row r="236" spans="1:12" ht="15.75" customHeight="1" x14ac:dyDescent="0.3">
      <c r="A236" s="1" t="s">
        <v>20</v>
      </c>
      <c r="B236" s="1" t="s">
        <v>36</v>
      </c>
      <c r="C236" s="1">
        <v>17242.689999999999</v>
      </c>
      <c r="D236" s="1">
        <v>2022</v>
      </c>
      <c r="E236" s="1">
        <f t="shared" ca="1" si="0"/>
        <v>0.37007566350405663</v>
      </c>
      <c r="F236" s="2">
        <v>150000</v>
      </c>
      <c r="G236" s="2">
        <f t="shared" si="2"/>
        <v>2586403500000</v>
      </c>
      <c r="H236" s="4">
        <v>40</v>
      </c>
      <c r="I236" s="1">
        <v>17800</v>
      </c>
      <c r="J236" s="2">
        <f t="shared" si="3"/>
        <v>689707.6</v>
      </c>
      <c r="K236" s="2">
        <f t="shared" si="4"/>
        <v>12276795280</v>
      </c>
      <c r="L236" s="2">
        <f t="shared" si="1"/>
        <v>2574126704720</v>
      </c>
    </row>
    <row r="237" spans="1:12" ht="15.75" customHeight="1" x14ac:dyDescent="0.3">
      <c r="A237" s="1" t="s">
        <v>20</v>
      </c>
      <c r="B237" s="1" t="s">
        <v>41</v>
      </c>
      <c r="C237" s="1">
        <v>9127.69</v>
      </c>
      <c r="D237" s="1">
        <v>2022</v>
      </c>
      <c r="E237" s="1">
        <f t="shared" ca="1" si="0"/>
        <v>0.59871194758613644</v>
      </c>
      <c r="F237" s="2">
        <v>150000</v>
      </c>
      <c r="G237" s="2">
        <f t="shared" si="2"/>
        <v>1369153500000</v>
      </c>
      <c r="H237" s="4">
        <v>40</v>
      </c>
      <c r="I237" s="1">
        <v>17800</v>
      </c>
      <c r="J237" s="2">
        <f t="shared" si="3"/>
        <v>365107.60000000003</v>
      </c>
      <c r="K237" s="2">
        <f t="shared" si="4"/>
        <v>6498915280.000001</v>
      </c>
      <c r="L237" s="2">
        <f t="shared" si="1"/>
        <v>1362654584720</v>
      </c>
    </row>
    <row r="238" spans="1:12" ht="15.75" customHeight="1" x14ac:dyDescent="0.3">
      <c r="A238" s="1" t="s">
        <v>13</v>
      </c>
      <c r="B238" s="1" t="s">
        <v>19</v>
      </c>
      <c r="C238" s="1">
        <v>38744.730000000003</v>
      </c>
      <c r="D238" s="1">
        <v>2020</v>
      </c>
      <c r="E238" s="1">
        <f t="shared" ca="1" si="0"/>
        <v>8.6878461801596529E-2</v>
      </c>
      <c r="F238" s="2">
        <v>50000</v>
      </c>
      <c r="G238" s="2">
        <f t="shared" si="2"/>
        <v>1937236500000</v>
      </c>
      <c r="H238" s="4">
        <v>27</v>
      </c>
      <c r="I238" s="1">
        <v>9800</v>
      </c>
      <c r="J238" s="2">
        <f t="shared" si="3"/>
        <v>1046107.7100000001</v>
      </c>
      <c r="K238" s="2">
        <f t="shared" si="4"/>
        <v>10251855558</v>
      </c>
      <c r="L238" s="2">
        <f t="shared" si="1"/>
        <v>1926984644442</v>
      </c>
    </row>
    <row r="239" spans="1:12" ht="15.75" customHeight="1" x14ac:dyDescent="0.3">
      <c r="A239" s="1" t="s">
        <v>15</v>
      </c>
      <c r="B239" s="1" t="s">
        <v>48</v>
      </c>
      <c r="C239" s="1">
        <v>106115.05</v>
      </c>
      <c r="D239" s="1">
        <v>2022</v>
      </c>
      <c r="E239" s="1">
        <f t="shared" ca="1" si="0"/>
        <v>0.71265038459183871</v>
      </c>
      <c r="F239" s="2">
        <v>34000</v>
      </c>
      <c r="G239" s="2">
        <f t="shared" si="2"/>
        <v>3607911700000</v>
      </c>
      <c r="H239" s="4">
        <v>20</v>
      </c>
      <c r="I239" s="1">
        <v>9000</v>
      </c>
      <c r="J239" s="2">
        <f t="shared" si="3"/>
        <v>2122301</v>
      </c>
      <c r="K239" s="2">
        <f t="shared" si="4"/>
        <v>19100709000</v>
      </c>
      <c r="L239" s="2">
        <f t="shared" si="1"/>
        <v>3588810991000</v>
      </c>
    </row>
    <row r="240" spans="1:12" ht="15.75" customHeight="1" x14ac:dyDescent="0.3">
      <c r="A240" s="1" t="s">
        <v>15</v>
      </c>
      <c r="B240" s="1" t="s">
        <v>43</v>
      </c>
      <c r="C240" s="1">
        <v>229672.82</v>
      </c>
      <c r="D240" s="1">
        <v>2022</v>
      </c>
      <c r="E240" s="1">
        <f t="shared" ca="1" si="0"/>
        <v>0.48646805301284402</v>
      </c>
      <c r="F240" s="2">
        <v>34000</v>
      </c>
      <c r="G240" s="2">
        <f t="shared" si="2"/>
        <v>7808875880000</v>
      </c>
      <c r="H240" s="4">
        <v>20</v>
      </c>
      <c r="I240" s="1">
        <v>9000</v>
      </c>
      <c r="J240" s="2">
        <f t="shared" si="3"/>
        <v>4593456.4000000004</v>
      </c>
      <c r="K240" s="2">
        <f t="shared" si="4"/>
        <v>41341107600</v>
      </c>
      <c r="L240" s="2">
        <f t="shared" si="1"/>
        <v>7767534772400</v>
      </c>
    </row>
    <row r="241" spans="1:12" ht="15.75" customHeight="1" x14ac:dyDescent="0.3">
      <c r="A241" s="1" t="s">
        <v>24</v>
      </c>
      <c r="B241" s="1" t="s">
        <v>27</v>
      </c>
      <c r="C241" s="1">
        <v>10.210000000000001</v>
      </c>
      <c r="D241" s="1">
        <v>2021</v>
      </c>
      <c r="E241" s="1">
        <f t="shared" ca="1" si="0"/>
        <v>4.4732208749235891E-2</v>
      </c>
      <c r="F241" s="2">
        <v>68000</v>
      </c>
      <c r="G241" s="2">
        <f t="shared" si="2"/>
        <v>694280000</v>
      </c>
      <c r="H241" s="4">
        <v>33</v>
      </c>
      <c r="I241" s="1">
        <v>18000</v>
      </c>
      <c r="J241" s="2">
        <f t="shared" si="3"/>
        <v>336.93</v>
      </c>
      <c r="K241" s="2">
        <f t="shared" si="4"/>
        <v>6064740</v>
      </c>
      <c r="L241" s="2">
        <f t="shared" si="1"/>
        <v>688215260</v>
      </c>
    </row>
    <row r="242" spans="1:12" ht="15.75" customHeight="1" x14ac:dyDescent="0.3">
      <c r="A242" s="1" t="s">
        <v>17</v>
      </c>
      <c r="B242" s="1" t="s">
        <v>39</v>
      </c>
      <c r="C242" s="1">
        <v>1982.55</v>
      </c>
      <c r="D242" s="1">
        <v>2022</v>
      </c>
      <c r="E242" s="1">
        <f t="shared" ca="1" si="0"/>
        <v>0.27637734719001394</v>
      </c>
      <c r="F242" s="2">
        <v>130000</v>
      </c>
      <c r="G242" s="2">
        <f t="shared" si="2"/>
        <v>257731500000</v>
      </c>
      <c r="H242" s="4">
        <v>37</v>
      </c>
      <c r="I242" s="1">
        <v>17000</v>
      </c>
      <c r="J242" s="2">
        <f t="shared" si="3"/>
        <v>73354.349999999991</v>
      </c>
      <c r="K242" s="2">
        <f t="shared" si="4"/>
        <v>1247023949.9999998</v>
      </c>
      <c r="L242" s="2">
        <f t="shared" si="1"/>
        <v>256484476050</v>
      </c>
    </row>
    <row r="243" spans="1:12" ht="15.75" customHeight="1" x14ac:dyDescent="0.3">
      <c r="A243" s="1" t="s">
        <v>17</v>
      </c>
      <c r="B243" s="1" t="s">
        <v>21</v>
      </c>
      <c r="C243" s="1">
        <v>12359.32</v>
      </c>
      <c r="D243" s="1">
        <v>2021</v>
      </c>
      <c r="E243" s="1">
        <f t="shared" ca="1" si="0"/>
        <v>0.16584947091389957</v>
      </c>
      <c r="F243" s="2">
        <v>130000</v>
      </c>
      <c r="G243" s="2">
        <f t="shared" si="2"/>
        <v>1606711600000</v>
      </c>
      <c r="H243" s="4">
        <v>32</v>
      </c>
      <c r="I243" s="1">
        <v>17000</v>
      </c>
      <c r="J243" s="2">
        <f t="shared" si="3"/>
        <v>395498.23999999999</v>
      </c>
      <c r="K243" s="2">
        <f t="shared" si="4"/>
        <v>6723470080</v>
      </c>
      <c r="L243" s="2">
        <f t="shared" si="1"/>
        <v>1599988129920</v>
      </c>
    </row>
    <row r="244" spans="1:12" ht="15.75" customHeight="1" x14ac:dyDescent="0.3">
      <c r="A244" s="1" t="s">
        <v>17</v>
      </c>
      <c r="B244" s="1" t="s">
        <v>31</v>
      </c>
      <c r="C244" s="1">
        <v>702.51</v>
      </c>
      <c r="D244" s="1">
        <v>2021</v>
      </c>
      <c r="E244" s="1">
        <f t="shared" ca="1" si="0"/>
        <v>0.5368485041035358</v>
      </c>
      <c r="F244" s="2">
        <v>130000</v>
      </c>
      <c r="G244" s="2">
        <f t="shared" si="2"/>
        <v>91326300000</v>
      </c>
      <c r="H244" s="4">
        <v>32</v>
      </c>
      <c r="I244" s="1">
        <v>17000</v>
      </c>
      <c r="J244" s="2">
        <f t="shared" si="3"/>
        <v>22480.32</v>
      </c>
      <c r="K244" s="2">
        <f t="shared" si="4"/>
        <v>382165440</v>
      </c>
      <c r="L244" s="2">
        <f t="shared" si="1"/>
        <v>90944134560</v>
      </c>
    </row>
    <row r="245" spans="1:12" ht="15.75" customHeight="1" x14ac:dyDescent="0.3">
      <c r="A245" s="1" t="s">
        <v>17</v>
      </c>
      <c r="B245" s="1" t="s">
        <v>39</v>
      </c>
      <c r="C245" s="1">
        <v>1954.1</v>
      </c>
      <c r="D245" s="1">
        <v>2021</v>
      </c>
      <c r="E245" s="1">
        <f t="shared" ca="1" si="0"/>
        <v>0.87727055472075355</v>
      </c>
      <c r="F245" s="2">
        <v>130000</v>
      </c>
      <c r="G245" s="2">
        <f t="shared" si="2"/>
        <v>254033000000</v>
      </c>
      <c r="H245" s="4">
        <v>32</v>
      </c>
      <c r="I245" s="1">
        <v>17000</v>
      </c>
      <c r="J245" s="2">
        <f t="shared" si="3"/>
        <v>62531.199999999997</v>
      </c>
      <c r="K245" s="2">
        <f t="shared" si="4"/>
        <v>1063030400</v>
      </c>
      <c r="L245" s="2">
        <f t="shared" si="1"/>
        <v>252969969600</v>
      </c>
    </row>
    <row r="246" spans="1:12" ht="15.75" customHeight="1" x14ac:dyDescent="0.3">
      <c r="A246" s="1" t="s">
        <v>17</v>
      </c>
      <c r="B246" s="1" t="s">
        <v>48</v>
      </c>
      <c r="C246" s="1">
        <v>351.09</v>
      </c>
      <c r="D246" s="1">
        <v>2021</v>
      </c>
      <c r="E246" s="1">
        <f t="shared" ca="1" si="0"/>
        <v>0.47067100025848696</v>
      </c>
      <c r="F246" s="2">
        <v>130000</v>
      </c>
      <c r="G246" s="2">
        <f t="shared" si="2"/>
        <v>45641700000</v>
      </c>
      <c r="H246" s="4">
        <v>32</v>
      </c>
      <c r="I246" s="1">
        <v>17000</v>
      </c>
      <c r="J246" s="2">
        <f t="shared" si="3"/>
        <v>11234.88</v>
      </c>
      <c r="K246" s="2">
        <f t="shared" si="4"/>
        <v>190992960</v>
      </c>
      <c r="L246" s="2">
        <f t="shared" si="1"/>
        <v>45450707040</v>
      </c>
    </row>
    <row r="247" spans="1:12" ht="15.75" customHeight="1" x14ac:dyDescent="0.3">
      <c r="A247" s="1" t="s">
        <v>20</v>
      </c>
      <c r="B247" s="1" t="s">
        <v>50</v>
      </c>
      <c r="C247" s="1">
        <v>21176.2</v>
      </c>
      <c r="D247" s="1">
        <v>2022</v>
      </c>
      <c r="E247" s="1">
        <f t="shared" ca="1" si="0"/>
        <v>0.77300050210890692</v>
      </c>
      <c r="F247" s="2">
        <v>150000</v>
      </c>
      <c r="G247" s="2">
        <f t="shared" si="2"/>
        <v>3176430000000</v>
      </c>
      <c r="H247" s="4">
        <v>40</v>
      </c>
      <c r="I247" s="1">
        <v>17800</v>
      </c>
      <c r="J247" s="2">
        <f t="shared" si="3"/>
        <v>847048</v>
      </c>
      <c r="K247" s="2">
        <f t="shared" si="4"/>
        <v>15077454400</v>
      </c>
      <c r="L247" s="2">
        <f t="shared" si="1"/>
        <v>3161352545600</v>
      </c>
    </row>
    <row r="248" spans="1:12" ht="15.75" customHeight="1" x14ac:dyDescent="0.3">
      <c r="A248" s="1" t="s">
        <v>20</v>
      </c>
      <c r="B248" s="1" t="s">
        <v>47</v>
      </c>
      <c r="C248" s="1">
        <v>5926.7</v>
      </c>
      <c r="D248" s="1">
        <v>2021</v>
      </c>
      <c r="E248" s="1">
        <f t="shared" ca="1" si="0"/>
        <v>0.50510696014806811</v>
      </c>
      <c r="F248" s="2">
        <v>150000</v>
      </c>
      <c r="G248" s="2">
        <f t="shared" si="2"/>
        <v>889005000000</v>
      </c>
      <c r="H248" s="4">
        <v>39</v>
      </c>
      <c r="I248" s="1">
        <v>17800</v>
      </c>
      <c r="J248" s="2">
        <f t="shared" si="3"/>
        <v>231141.3</v>
      </c>
      <c r="K248" s="2">
        <f t="shared" si="4"/>
        <v>4114315140</v>
      </c>
      <c r="L248" s="2">
        <f t="shared" si="1"/>
        <v>884890684860</v>
      </c>
    </row>
    <row r="249" spans="1:12" ht="15.75" customHeight="1" x14ac:dyDescent="0.3">
      <c r="A249" s="1" t="s">
        <v>17</v>
      </c>
      <c r="B249" s="1" t="s">
        <v>27</v>
      </c>
      <c r="C249" s="1">
        <v>103.33</v>
      </c>
      <c r="D249" s="1">
        <v>2020</v>
      </c>
      <c r="E249" s="1">
        <f t="shared" ca="1" si="0"/>
        <v>0.14606342754313684</v>
      </c>
      <c r="F249" s="2">
        <v>130000</v>
      </c>
      <c r="G249" s="2">
        <f t="shared" si="2"/>
        <v>13432900000</v>
      </c>
      <c r="H249" s="4">
        <v>35</v>
      </c>
      <c r="I249" s="1">
        <v>17000</v>
      </c>
      <c r="J249" s="2">
        <f t="shared" si="3"/>
        <v>3616.5499999999997</v>
      </c>
      <c r="K249" s="2">
        <f t="shared" si="4"/>
        <v>61481349.999999993</v>
      </c>
      <c r="L249" s="2">
        <f t="shared" si="1"/>
        <v>13371418650</v>
      </c>
    </row>
    <row r="250" spans="1:12" ht="15.75" customHeight="1" x14ac:dyDescent="0.3">
      <c r="A250" s="1" t="s">
        <v>17</v>
      </c>
      <c r="B250" s="1" t="s">
        <v>41</v>
      </c>
      <c r="C250" s="1">
        <v>741.4</v>
      </c>
      <c r="D250" s="1">
        <v>2021</v>
      </c>
      <c r="E250" s="1">
        <f t="shared" ca="1" si="0"/>
        <v>0.58762341563032594</v>
      </c>
      <c r="F250" s="2">
        <v>130000</v>
      </c>
      <c r="G250" s="2">
        <f t="shared" si="2"/>
        <v>96382000000</v>
      </c>
      <c r="H250" s="4">
        <v>32</v>
      </c>
      <c r="I250" s="1">
        <v>17000</v>
      </c>
      <c r="J250" s="2">
        <f t="shared" si="3"/>
        <v>23724.799999999999</v>
      </c>
      <c r="K250" s="2">
        <f t="shared" si="4"/>
        <v>403321600</v>
      </c>
      <c r="L250" s="2">
        <f t="shared" si="1"/>
        <v>95978678400</v>
      </c>
    </row>
    <row r="251" spans="1:12" ht="15.75" customHeight="1" x14ac:dyDescent="0.3">
      <c r="A251" s="1" t="s">
        <v>20</v>
      </c>
      <c r="B251" s="1" t="s">
        <v>39</v>
      </c>
      <c r="C251" s="1">
        <v>4650.67</v>
      </c>
      <c r="D251" s="1">
        <v>2021</v>
      </c>
      <c r="E251" s="1">
        <f t="shared" ca="1" si="0"/>
        <v>0.2864650641224098</v>
      </c>
      <c r="F251" s="2">
        <v>150000</v>
      </c>
      <c r="G251" s="2">
        <f t="shared" si="2"/>
        <v>697600500000</v>
      </c>
      <c r="H251" s="4">
        <v>39</v>
      </c>
      <c r="I251" s="1">
        <v>17800</v>
      </c>
      <c r="J251" s="2">
        <f t="shared" si="3"/>
        <v>181376.13</v>
      </c>
      <c r="K251" s="2">
        <f t="shared" si="4"/>
        <v>3228495114</v>
      </c>
      <c r="L251" s="2">
        <f t="shared" si="1"/>
        <v>694372004886</v>
      </c>
    </row>
    <row r="252" spans="1:12" ht="15.75" customHeight="1" x14ac:dyDescent="0.3">
      <c r="A252" s="1" t="s">
        <v>15</v>
      </c>
      <c r="B252" s="1" t="s">
        <v>22</v>
      </c>
      <c r="C252" s="1">
        <v>7517.32</v>
      </c>
      <c r="D252" s="1">
        <v>2021</v>
      </c>
      <c r="E252" s="1">
        <f t="shared" ca="1" si="0"/>
        <v>1.3909884670544326E-3</v>
      </c>
      <c r="F252" s="2">
        <v>34000</v>
      </c>
      <c r="G252" s="2">
        <f t="shared" si="2"/>
        <v>255588880000</v>
      </c>
      <c r="H252" s="4">
        <v>21</v>
      </c>
      <c r="I252" s="1">
        <v>9000</v>
      </c>
      <c r="J252" s="2">
        <f t="shared" si="3"/>
        <v>157863.72</v>
      </c>
      <c r="K252" s="2">
        <f t="shared" si="4"/>
        <v>1420773480</v>
      </c>
      <c r="L252" s="2">
        <f t="shared" si="1"/>
        <v>254168106520</v>
      </c>
    </row>
    <row r="253" spans="1:12" ht="15.75" customHeight="1" x14ac:dyDescent="0.3">
      <c r="A253" s="1" t="s">
        <v>20</v>
      </c>
      <c r="B253" s="1" t="s">
        <v>28</v>
      </c>
      <c r="C253" s="1">
        <v>701.12</v>
      </c>
      <c r="D253" s="1">
        <v>2020</v>
      </c>
      <c r="E253" s="1">
        <f t="shared" ca="1" si="0"/>
        <v>0.90921635708455451</v>
      </c>
      <c r="F253" s="2">
        <v>150000</v>
      </c>
      <c r="G253" s="2">
        <f t="shared" si="2"/>
        <v>105168000000</v>
      </c>
      <c r="H253" s="4">
        <v>38</v>
      </c>
      <c r="I253" s="1">
        <v>17800</v>
      </c>
      <c r="J253" s="2">
        <f t="shared" si="3"/>
        <v>26642.560000000001</v>
      </c>
      <c r="K253" s="2">
        <f t="shared" si="4"/>
        <v>474237568</v>
      </c>
      <c r="L253" s="2">
        <f t="shared" si="1"/>
        <v>104693762432</v>
      </c>
    </row>
    <row r="254" spans="1:12" ht="15.75" customHeight="1" x14ac:dyDescent="0.3">
      <c r="A254" s="1" t="s">
        <v>24</v>
      </c>
      <c r="B254" s="1" t="s">
        <v>36</v>
      </c>
      <c r="C254" s="1">
        <v>2655.05</v>
      </c>
      <c r="D254" s="1">
        <v>2022</v>
      </c>
      <c r="E254" s="1">
        <f t="shared" ca="1" si="0"/>
        <v>0.8139082312897965</v>
      </c>
      <c r="F254" s="2">
        <v>68000</v>
      </c>
      <c r="G254" s="2">
        <f t="shared" si="2"/>
        <v>180543400000</v>
      </c>
      <c r="H254" s="4">
        <v>28</v>
      </c>
      <c r="I254" s="1">
        <v>18000</v>
      </c>
      <c r="J254" s="2">
        <f t="shared" si="3"/>
        <v>74341.400000000009</v>
      </c>
      <c r="K254" s="2">
        <f t="shared" si="4"/>
        <v>1338145200.0000002</v>
      </c>
      <c r="L254" s="2">
        <f t="shared" si="1"/>
        <v>179205254800</v>
      </c>
    </row>
    <row r="255" spans="1:12" ht="15.75" customHeight="1" x14ac:dyDescent="0.3">
      <c r="A255" s="1" t="s">
        <v>15</v>
      </c>
      <c r="B255" s="1" t="s">
        <v>25</v>
      </c>
      <c r="C255" s="1">
        <v>3014.32</v>
      </c>
      <c r="D255" s="1">
        <v>2020</v>
      </c>
      <c r="E255" s="1">
        <f t="shared" ca="1" si="0"/>
        <v>0.11760014156082843</v>
      </c>
      <c r="F255" s="2">
        <v>34000</v>
      </c>
      <c r="G255" s="2">
        <f t="shared" si="2"/>
        <v>102486880000</v>
      </c>
      <c r="H255" s="4">
        <v>25</v>
      </c>
      <c r="I255" s="1">
        <v>9000</v>
      </c>
      <c r="J255" s="2">
        <f t="shared" si="3"/>
        <v>75358</v>
      </c>
      <c r="K255" s="2">
        <f t="shared" si="4"/>
        <v>678222000</v>
      </c>
      <c r="L255" s="2">
        <f t="shared" si="1"/>
        <v>101808658000</v>
      </c>
    </row>
    <row r="256" spans="1:12" ht="15.75" customHeight="1" x14ac:dyDescent="0.3">
      <c r="A256" s="1" t="s">
        <v>13</v>
      </c>
      <c r="B256" s="1" t="s">
        <v>34</v>
      </c>
      <c r="C256" s="1">
        <v>6419.96</v>
      </c>
      <c r="D256" s="1">
        <v>2020</v>
      </c>
      <c r="E256" s="1">
        <f t="shared" ca="1" si="0"/>
        <v>0.93942786646725596</v>
      </c>
      <c r="F256" s="2">
        <v>50000</v>
      </c>
      <c r="G256" s="2">
        <f t="shared" si="2"/>
        <v>320998000000</v>
      </c>
      <c r="H256" s="4">
        <v>27</v>
      </c>
      <c r="I256" s="1">
        <v>9800</v>
      </c>
      <c r="J256" s="2">
        <f t="shared" si="3"/>
        <v>173338.92</v>
      </c>
      <c r="K256" s="2">
        <f t="shared" si="4"/>
        <v>1698721416.0000002</v>
      </c>
      <c r="L256" s="2">
        <f t="shared" si="1"/>
        <v>319299278584</v>
      </c>
    </row>
    <row r="257" spans="1:12" ht="15.75" customHeight="1" x14ac:dyDescent="0.3">
      <c r="A257" s="1" t="s">
        <v>15</v>
      </c>
      <c r="B257" s="1" t="s">
        <v>36</v>
      </c>
      <c r="C257" s="1">
        <v>244612.91</v>
      </c>
      <c r="D257" s="1">
        <v>2020</v>
      </c>
      <c r="E257" s="1">
        <f t="shared" ca="1" si="0"/>
        <v>0.22109940886767498</v>
      </c>
      <c r="F257" s="2">
        <v>34000</v>
      </c>
      <c r="G257" s="2">
        <f t="shared" si="2"/>
        <v>8316838940000</v>
      </c>
      <c r="H257" s="4">
        <v>25</v>
      </c>
      <c r="I257" s="1">
        <v>9000</v>
      </c>
      <c r="J257" s="2">
        <f t="shared" si="3"/>
        <v>6115322.75</v>
      </c>
      <c r="K257" s="2">
        <f t="shared" si="4"/>
        <v>55037904750</v>
      </c>
      <c r="L257" s="2">
        <f t="shared" si="1"/>
        <v>8261801035250</v>
      </c>
    </row>
    <row r="258" spans="1:12" ht="15.75" customHeight="1" x14ac:dyDescent="0.3">
      <c r="A258" s="1" t="s">
        <v>13</v>
      </c>
      <c r="B258" s="1" t="s">
        <v>33</v>
      </c>
      <c r="C258" s="1">
        <v>233.94</v>
      </c>
      <c r="D258" s="1">
        <v>2020</v>
      </c>
      <c r="E258" s="1">
        <f t="shared" ref="E258:E512" ca="1" si="5">RAND()</f>
        <v>0.59695794510792366</v>
      </c>
      <c r="F258" s="2">
        <v>50000</v>
      </c>
      <c r="G258" s="2">
        <f t="shared" ref="G258:G512" si="6">(C258*1000)*F258</f>
        <v>11697000000</v>
      </c>
      <c r="H258" s="4">
        <v>27</v>
      </c>
      <c r="I258" s="1">
        <v>9800</v>
      </c>
      <c r="J258" s="2">
        <f t="shared" ref="J258:J512" si="7">H258*C258</f>
        <v>6316.38</v>
      </c>
      <c r="K258" s="2">
        <f t="shared" ref="K258:K512" si="8">J258*I258</f>
        <v>61900524</v>
      </c>
      <c r="L258" s="2">
        <f t="shared" ref="L258:L512" si="9">G258-K258</f>
        <v>11635099476</v>
      </c>
    </row>
    <row r="259" spans="1:12" ht="15.75" customHeight="1" x14ac:dyDescent="0.3">
      <c r="A259" s="1" t="s">
        <v>13</v>
      </c>
      <c r="B259" s="1" t="s">
        <v>42</v>
      </c>
      <c r="C259" s="1">
        <v>6241.05</v>
      </c>
      <c r="D259" s="1">
        <v>2022</v>
      </c>
      <c r="E259" s="1">
        <f t="shared" ca="1" si="5"/>
        <v>0.32885690927090117</v>
      </c>
      <c r="F259" s="2">
        <v>50000</v>
      </c>
      <c r="G259" s="2">
        <f t="shared" si="6"/>
        <v>312052500000</v>
      </c>
      <c r="H259" s="4">
        <v>29</v>
      </c>
      <c r="I259" s="1">
        <v>9800</v>
      </c>
      <c r="J259" s="2">
        <f t="shared" si="7"/>
        <v>180990.45</v>
      </c>
      <c r="K259" s="2">
        <f t="shared" si="8"/>
        <v>1773706410</v>
      </c>
      <c r="L259" s="2">
        <f t="shared" si="9"/>
        <v>310278793590</v>
      </c>
    </row>
    <row r="260" spans="1:12" ht="15.75" customHeight="1" x14ac:dyDescent="0.3">
      <c r="A260" s="1" t="s">
        <v>13</v>
      </c>
      <c r="B260" s="1" t="s">
        <v>27</v>
      </c>
      <c r="C260" s="1">
        <v>587.97</v>
      </c>
      <c r="D260" s="1">
        <v>2020</v>
      </c>
      <c r="E260" s="1">
        <f t="shared" ca="1" si="5"/>
        <v>0.72658209828694831</v>
      </c>
      <c r="F260" s="2">
        <v>50000</v>
      </c>
      <c r="G260" s="2">
        <f t="shared" si="6"/>
        <v>29398500000</v>
      </c>
      <c r="H260" s="4">
        <v>27</v>
      </c>
      <c r="I260" s="1">
        <v>9800</v>
      </c>
      <c r="J260" s="2">
        <f t="shared" si="7"/>
        <v>15875.19</v>
      </c>
      <c r="K260" s="2">
        <f t="shared" si="8"/>
        <v>155576862</v>
      </c>
      <c r="L260" s="2">
        <f t="shared" si="9"/>
        <v>29242923138</v>
      </c>
    </row>
    <row r="261" spans="1:12" ht="15.75" customHeight="1" x14ac:dyDescent="0.3">
      <c r="A261" s="1" t="s">
        <v>20</v>
      </c>
      <c r="B261" s="1" t="s">
        <v>47</v>
      </c>
      <c r="C261" s="1">
        <v>5967.2</v>
      </c>
      <c r="D261" s="1">
        <v>2022</v>
      </c>
      <c r="E261" s="1">
        <f t="shared" ca="1" si="5"/>
        <v>0.21930226350182069</v>
      </c>
      <c r="F261" s="2">
        <v>150000</v>
      </c>
      <c r="G261" s="2">
        <f t="shared" si="6"/>
        <v>895080000000</v>
      </c>
      <c r="H261" s="4">
        <v>40</v>
      </c>
      <c r="I261" s="1">
        <v>17800</v>
      </c>
      <c r="J261" s="2">
        <f t="shared" si="7"/>
        <v>238688</v>
      </c>
      <c r="K261" s="2">
        <f t="shared" si="8"/>
        <v>4248646400</v>
      </c>
      <c r="L261" s="2">
        <f t="shared" si="9"/>
        <v>890831353600</v>
      </c>
    </row>
    <row r="262" spans="1:12" ht="15.75" customHeight="1" x14ac:dyDescent="0.3">
      <c r="A262" s="1" t="s">
        <v>20</v>
      </c>
      <c r="B262" s="1" t="s">
        <v>51</v>
      </c>
      <c r="C262" s="1">
        <v>7319.28</v>
      </c>
      <c r="D262" s="1">
        <v>2021</v>
      </c>
      <c r="E262" s="1">
        <f t="shared" ca="1" si="5"/>
        <v>0.41229123783103994</v>
      </c>
      <c r="F262" s="2">
        <v>150000</v>
      </c>
      <c r="G262" s="2">
        <f t="shared" si="6"/>
        <v>1097892000000</v>
      </c>
      <c r="H262" s="4">
        <v>39</v>
      </c>
      <c r="I262" s="1">
        <v>17800</v>
      </c>
      <c r="J262" s="2">
        <f t="shared" si="7"/>
        <v>285451.92</v>
      </c>
      <c r="K262" s="2">
        <f t="shared" si="8"/>
        <v>5081044176</v>
      </c>
      <c r="L262" s="2">
        <f t="shared" si="9"/>
        <v>1092810955824</v>
      </c>
    </row>
    <row r="263" spans="1:12" ht="15.75" customHeight="1" x14ac:dyDescent="0.3">
      <c r="A263" s="1" t="s">
        <v>20</v>
      </c>
      <c r="B263" s="1" t="s">
        <v>29</v>
      </c>
      <c r="C263" s="1">
        <v>7830.73</v>
      </c>
      <c r="D263" s="1">
        <v>2021</v>
      </c>
      <c r="E263" s="1">
        <f t="shared" ca="1" si="5"/>
        <v>0.7609290200635288</v>
      </c>
      <c r="F263" s="2">
        <v>150000</v>
      </c>
      <c r="G263" s="2">
        <f t="shared" si="6"/>
        <v>1174609500000</v>
      </c>
      <c r="H263" s="4">
        <v>39</v>
      </c>
      <c r="I263" s="1">
        <v>17800</v>
      </c>
      <c r="J263" s="2">
        <f t="shared" si="7"/>
        <v>305398.46999999997</v>
      </c>
      <c r="K263" s="2">
        <f t="shared" si="8"/>
        <v>5436092765.999999</v>
      </c>
      <c r="L263" s="2">
        <f t="shared" si="9"/>
        <v>1169173407234</v>
      </c>
    </row>
    <row r="264" spans="1:12" ht="15.75" customHeight="1" x14ac:dyDescent="0.3">
      <c r="A264" s="1" t="s">
        <v>17</v>
      </c>
      <c r="B264" s="1" t="s">
        <v>50</v>
      </c>
      <c r="C264" s="1">
        <v>4447.92</v>
      </c>
      <c r="D264" s="1">
        <v>2022</v>
      </c>
      <c r="E264" s="1">
        <f t="shared" ca="1" si="5"/>
        <v>0.21474406461530382</v>
      </c>
      <c r="F264" s="2">
        <v>130000</v>
      </c>
      <c r="G264" s="2">
        <f t="shared" si="6"/>
        <v>578229600000</v>
      </c>
      <c r="H264" s="4">
        <v>37</v>
      </c>
      <c r="I264" s="1">
        <v>17000</v>
      </c>
      <c r="J264" s="2">
        <f t="shared" si="7"/>
        <v>164573.04</v>
      </c>
      <c r="K264" s="2">
        <f t="shared" si="8"/>
        <v>2797741680</v>
      </c>
      <c r="L264" s="2">
        <f t="shared" si="9"/>
        <v>575431858320</v>
      </c>
    </row>
    <row r="265" spans="1:12" ht="15.75" customHeight="1" x14ac:dyDescent="0.3">
      <c r="A265" s="1" t="s">
        <v>20</v>
      </c>
      <c r="B265" s="1" t="s">
        <v>34</v>
      </c>
      <c r="C265" s="1">
        <v>21375.13</v>
      </c>
      <c r="D265" s="1">
        <v>2021</v>
      </c>
      <c r="E265" s="1">
        <f t="shared" ca="1" si="5"/>
        <v>0.8333073825168521</v>
      </c>
      <c r="F265" s="2">
        <v>150000</v>
      </c>
      <c r="G265" s="2">
        <f t="shared" si="6"/>
        <v>3206269500000</v>
      </c>
      <c r="H265" s="4">
        <v>39</v>
      </c>
      <c r="I265" s="1">
        <v>17800</v>
      </c>
      <c r="J265" s="2">
        <f t="shared" si="7"/>
        <v>833630.07000000007</v>
      </c>
      <c r="K265" s="2">
        <f t="shared" si="8"/>
        <v>14838615246.000002</v>
      </c>
      <c r="L265" s="2">
        <f t="shared" si="9"/>
        <v>3191430884754</v>
      </c>
    </row>
    <row r="266" spans="1:12" ht="15.75" customHeight="1" x14ac:dyDescent="0.3">
      <c r="A266" s="1" t="s">
        <v>17</v>
      </c>
      <c r="B266" s="1" t="s">
        <v>16</v>
      </c>
      <c r="C266" s="1">
        <v>274.10000000000002</v>
      </c>
      <c r="D266" s="1">
        <v>2020</v>
      </c>
      <c r="E266" s="1">
        <f t="shared" ca="1" si="5"/>
        <v>0.44199222303794983</v>
      </c>
      <c r="F266" s="2">
        <v>130000</v>
      </c>
      <c r="G266" s="2">
        <f t="shared" si="6"/>
        <v>35633000000</v>
      </c>
      <c r="H266" s="4">
        <v>35</v>
      </c>
      <c r="I266" s="1">
        <v>17000</v>
      </c>
      <c r="J266" s="2">
        <f t="shared" si="7"/>
        <v>9593.5</v>
      </c>
      <c r="K266" s="2">
        <f t="shared" si="8"/>
        <v>163089500</v>
      </c>
      <c r="L266" s="2">
        <f t="shared" si="9"/>
        <v>35469910500</v>
      </c>
    </row>
    <row r="267" spans="1:12" ht="15.75" customHeight="1" x14ac:dyDescent="0.3">
      <c r="A267" s="1" t="s">
        <v>20</v>
      </c>
      <c r="B267" s="1" t="s">
        <v>28</v>
      </c>
      <c r="C267" s="1">
        <v>1300.92</v>
      </c>
      <c r="D267" s="1">
        <v>2021</v>
      </c>
      <c r="E267" s="1">
        <f t="shared" ca="1" si="5"/>
        <v>9.8670013539703394E-4</v>
      </c>
      <c r="F267" s="2">
        <v>150000</v>
      </c>
      <c r="G267" s="2">
        <f t="shared" si="6"/>
        <v>195138000000</v>
      </c>
      <c r="H267" s="4">
        <v>39</v>
      </c>
      <c r="I267" s="1">
        <v>17800</v>
      </c>
      <c r="J267" s="2">
        <f t="shared" si="7"/>
        <v>50735.880000000005</v>
      </c>
      <c r="K267" s="2">
        <f t="shared" si="8"/>
        <v>903098664.00000012</v>
      </c>
      <c r="L267" s="2">
        <f t="shared" si="9"/>
        <v>194234901336</v>
      </c>
    </row>
    <row r="268" spans="1:12" ht="15.75" customHeight="1" x14ac:dyDescent="0.3">
      <c r="A268" s="1" t="s">
        <v>20</v>
      </c>
      <c r="B268" s="1" t="s">
        <v>43</v>
      </c>
      <c r="C268" s="1">
        <v>15458.87</v>
      </c>
      <c r="D268" s="1">
        <v>2022</v>
      </c>
      <c r="E268" s="1">
        <f t="shared" ca="1" si="5"/>
        <v>0.39122049657175739</v>
      </c>
      <c r="F268" s="2">
        <v>150000</v>
      </c>
      <c r="G268" s="2">
        <f t="shared" si="6"/>
        <v>2318830500000</v>
      </c>
      <c r="H268" s="4">
        <v>40</v>
      </c>
      <c r="I268" s="1">
        <v>17800</v>
      </c>
      <c r="J268" s="2">
        <f t="shared" si="7"/>
        <v>618354.80000000005</v>
      </c>
      <c r="K268" s="2">
        <f t="shared" si="8"/>
        <v>11006715440</v>
      </c>
      <c r="L268" s="2">
        <f t="shared" si="9"/>
        <v>2307823784560</v>
      </c>
    </row>
    <row r="269" spans="1:12" ht="15.75" customHeight="1" x14ac:dyDescent="0.3">
      <c r="A269" s="1" t="s">
        <v>17</v>
      </c>
      <c r="B269" s="1" t="s">
        <v>43</v>
      </c>
      <c r="C269" s="1">
        <v>1866.11</v>
      </c>
      <c r="D269" s="1">
        <v>2022</v>
      </c>
      <c r="E269" s="1">
        <f t="shared" ca="1" si="5"/>
        <v>0.45661349690085229</v>
      </c>
      <c r="F269" s="2">
        <v>130000</v>
      </c>
      <c r="G269" s="2">
        <f t="shared" si="6"/>
        <v>242594300000</v>
      </c>
      <c r="H269" s="4">
        <v>37</v>
      </c>
      <c r="I269" s="1">
        <v>17000</v>
      </c>
      <c r="J269" s="2">
        <f t="shared" si="7"/>
        <v>69046.069999999992</v>
      </c>
      <c r="K269" s="2">
        <f t="shared" si="8"/>
        <v>1173783189.9999998</v>
      </c>
      <c r="L269" s="2">
        <f t="shared" si="9"/>
        <v>241420516810</v>
      </c>
    </row>
    <row r="270" spans="1:12" ht="15.75" customHeight="1" x14ac:dyDescent="0.3">
      <c r="A270" s="1" t="s">
        <v>15</v>
      </c>
      <c r="B270" s="1" t="s">
        <v>18</v>
      </c>
      <c r="C270" s="1">
        <v>8277.59</v>
      </c>
      <c r="D270" s="1">
        <v>2022</v>
      </c>
      <c r="E270" s="1">
        <f t="shared" ca="1" si="5"/>
        <v>0.70846110102497228</v>
      </c>
      <c r="F270" s="2">
        <v>34000</v>
      </c>
      <c r="G270" s="2">
        <f t="shared" si="6"/>
        <v>281438060000</v>
      </c>
      <c r="H270" s="4">
        <v>20</v>
      </c>
      <c r="I270" s="1">
        <v>9000</v>
      </c>
      <c r="J270" s="2">
        <f t="shared" si="7"/>
        <v>165551.79999999999</v>
      </c>
      <c r="K270" s="2">
        <f t="shared" si="8"/>
        <v>1489966200</v>
      </c>
      <c r="L270" s="2">
        <f t="shared" si="9"/>
        <v>279948093800</v>
      </c>
    </row>
    <row r="271" spans="1:12" ht="15.75" customHeight="1" x14ac:dyDescent="0.3">
      <c r="A271" s="1" t="s">
        <v>20</v>
      </c>
      <c r="B271" s="1" t="s">
        <v>27</v>
      </c>
      <c r="C271" s="1">
        <v>3395.04</v>
      </c>
      <c r="D271" s="1">
        <v>2022</v>
      </c>
      <c r="E271" s="1">
        <f t="shared" ca="1" si="5"/>
        <v>0.45718777648021114</v>
      </c>
      <c r="F271" s="2">
        <v>150000</v>
      </c>
      <c r="G271" s="2">
        <f t="shared" si="6"/>
        <v>509256000000</v>
      </c>
      <c r="H271" s="4">
        <v>40</v>
      </c>
      <c r="I271" s="1">
        <v>17800</v>
      </c>
      <c r="J271" s="2">
        <f t="shared" si="7"/>
        <v>135801.60000000001</v>
      </c>
      <c r="K271" s="2">
        <f t="shared" si="8"/>
        <v>2417268480</v>
      </c>
      <c r="L271" s="2">
        <f t="shared" si="9"/>
        <v>506838731520</v>
      </c>
    </row>
    <row r="272" spans="1:12" ht="15.75" customHeight="1" x14ac:dyDescent="0.3">
      <c r="A272" s="1" t="s">
        <v>13</v>
      </c>
      <c r="B272" s="1" t="s">
        <v>16</v>
      </c>
      <c r="C272" s="1">
        <v>540.72</v>
      </c>
      <c r="D272" s="1">
        <v>2020</v>
      </c>
      <c r="E272" s="1">
        <f t="shared" ca="1" si="5"/>
        <v>0.78696550747562788</v>
      </c>
      <c r="F272" s="2">
        <v>50000</v>
      </c>
      <c r="G272" s="2">
        <f t="shared" si="6"/>
        <v>27036000000</v>
      </c>
      <c r="H272" s="4">
        <v>27</v>
      </c>
      <c r="I272" s="1">
        <v>9800</v>
      </c>
      <c r="J272" s="2">
        <f t="shared" si="7"/>
        <v>14599.44</v>
      </c>
      <c r="K272" s="2">
        <f t="shared" si="8"/>
        <v>143074512</v>
      </c>
      <c r="L272" s="2">
        <f t="shared" si="9"/>
        <v>26892925488</v>
      </c>
    </row>
    <row r="273" spans="1:12" ht="15.75" customHeight="1" x14ac:dyDescent="0.3">
      <c r="A273" s="1" t="s">
        <v>15</v>
      </c>
      <c r="B273" s="1" t="s">
        <v>47</v>
      </c>
      <c r="C273" s="1">
        <v>13208.53</v>
      </c>
      <c r="D273" s="1">
        <v>2022</v>
      </c>
      <c r="E273" s="1">
        <f t="shared" ca="1" si="5"/>
        <v>0.90693796672926241</v>
      </c>
      <c r="F273" s="2">
        <v>34000</v>
      </c>
      <c r="G273" s="2">
        <f t="shared" si="6"/>
        <v>449090020000</v>
      </c>
      <c r="H273" s="4">
        <v>20</v>
      </c>
      <c r="I273" s="1">
        <v>9000</v>
      </c>
      <c r="J273" s="2">
        <f t="shared" si="7"/>
        <v>264170.60000000003</v>
      </c>
      <c r="K273" s="2">
        <f t="shared" si="8"/>
        <v>2377535400.0000005</v>
      </c>
      <c r="L273" s="2">
        <f t="shared" si="9"/>
        <v>446712484600</v>
      </c>
    </row>
    <row r="274" spans="1:12" ht="15.75" customHeight="1" x14ac:dyDescent="0.3">
      <c r="A274" s="1" t="s">
        <v>17</v>
      </c>
      <c r="B274" s="1" t="s">
        <v>31</v>
      </c>
      <c r="C274" s="1">
        <v>983.97</v>
      </c>
      <c r="D274" s="1">
        <v>2020</v>
      </c>
      <c r="E274" s="1">
        <f t="shared" ca="1" si="5"/>
        <v>7.7958993737229809E-2</v>
      </c>
      <c r="F274" s="2">
        <v>130000</v>
      </c>
      <c r="G274" s="2">
        <f t="shared" si="6"/>
        <v>127916100000</v>
      </c>
      <c r="H274" s="4">
        <v>35</v>
      </c>
      <c r="I274" s="1">
        <v>17000</v>
      </c>
      <c r="J274" s="2">
        <f t="shared" si="7"/>
        <v>34438.950000000004</v>
      </c>
      <c r="K274" s="2">
        <f t="shared" si="8"/>
        <v>585462150.00000012</v>
      </c>
      <c r="L274" s="2">
        <f t="shared" si="9"/>
        <v>127330637850</v>
      </c>
    </row>
    <row r="275" spans="1:12" ht="15.75" customHeight="1" x14ac:dyDescent="0.3">
      <c r="A275" s="1" t="s">
        <v>13</v>
      </c>
      <c r="B275" s="1" t="s">
        <v>44</v>
      </c>
      <c r="C275" s="1">
        <v>1586.83</v>
      </c>
      <c r="D275" s="1">
        <v>2021</v>
      </c>
      <c r="E275" s="1">
        <f t="shared" ca="1" si="5"/>
        <v>0.19264563599654105</v>
      </c>
      <c r="F275" s="2">
        <v>50000</v>
      </c>
      <c r="G275" s="2">
        <f t="shared" si="6"/>
        <v>79341500000</v>
      </c>
      <c r="H275" s="4">
        <v>26</v>
      </c>
      <c r="I275" s="1">
        <v>9800</v>
      </c>
      <c r="J275" s="2">
        <f t="shared" si="7"/>
        <v>41257.58</v>
      </c>
      <c r="K275" s="2">
        <f t="shared" si="8"/>
        <v>404324284</v>
      </c>
      <c r="L275" s="2">
        <f t="shared" si="9"/>
        <v>78937175716</v>
      </c>
    </row>
    <row r="276" spans="1:12" ht="15.75" customHeight="1" x14ac:dyDescent="0.3">
      <c r="A276" s="1" t="s">
        <v>24</v>
      </c>
      <c r="B276" s="1" t="s">
        <v>47</v>
      </c>
      <c r="C276" s="1">
        <v>40.15</v>
      </c>
      <c r="D276" s="1">
        <v>2021</v>
      </c>
      <c r="E276" s="1">
        <f t="shared" ca="1" si="5"/>
        <v>0.54374066573206448</v>
      </c>
      <c r="F276" s="2">
        <v>68000</v>
      </c>
      <c r="G276" s="2">
        <f t="shared" si="6"/>
        <v>2730200000</v>
      </c>
      <c r="H276" s="4">
        <v>33</v>
      </c>
      <c r="I276" s="1">
        <v>18000</v>
      </c>
      <c r="J276" s="2">
        <f t="shared" si="7"/>
        <v>1324.95</v>
      </c>
      <c r="K276" s="2">
        <f t="shared" si="8"/>
        <v>23849100</v>
      </c>
      <c r="L276" s="2">
        <f t="shared" si="9"/>
        <v>2706350900</v>
      </c>
    </row>
    <row r="277" spans="1:12" ht="15.75" customHeight="1" x14ac:dyDescent="0.3">
      <c r="A277" s="1" t="s">
        <v>15</v>
      </c>
      <c r="B277" s="1" t="s">
        <v>31</v>
      </c>
      <c r="C277" s="1">
        <v>42392.32</v>
      </c>
      <c r="D277" s="1">
        <v>2021</v>
      </c>
      <c r="E277" s="1">
        <f t="shared" ca="1" si="5"/>
        <v>0.86400920108679458</v>
      </c>
      <c r="F277" s="2">
        <v>34000</v>
      </c>
      <c r="G277" s="2">
        <f t="shared" si="6"/>
        <v>1441338880000</v>
      </c>
      <c r="H277" s="4">
        <v>21</v>
      </c>
      <c r="I277" s="1">
        <v>9000</v>
      </c>
      <c r="J277" s="2">
        <f t="shared" si="7"/>
        <v>890238.72</v>
      </c>
      <c r="K277" s="2">
        <f t="shared" si="8"/>
        <v>8012148480</v>
      </c>
      <c r="L277" s="2">
        <f t="shared" si="9"/>
        <v>1433326731520</v>
      </c>
    </row>
    <row r="278" spans="1:12" ht="15.75" customHeight="1" x14ac:dyDescent="0.3">
      <c r="A278" s="1" t="s">
        <v>20</v>
      </c>
      <c r="B278" s="1" t="s">
        <v>28</v>
      </c>
      <c r="C278" s="1">
        <v>1320.51</v>
      </c>
      <c r="D278" s="1">
        <v>2022</v>
      </c>
      <c r="E278" s="1">
        <f t="shared" ca="1" si="5"/>
        <v>5.2119659176950162E-2</v>
      </c>
      <c r="F278" s="2">
        <v>150000</v>
      </c>
      <c r="G278" s="2">
        <f t="shared" si="6"/>
        <v>198076500000</v>
      </c>
      <c r="H278" s="4">
        <v>40</v>
      </c>
      <c r="I278" s="1">
        <v>17800</v>
      </c>
      <c r="J278" s="2">
        <f t="shared" si="7"/>
        <v>52820.4</v>
      </c>
      <c r="K278" s="2">
        <f t="shared" si="8"/>
        <v>940203120</v>
      </c>
      <c r="L278" s="2">
        <f t="shared" si="9"/>
        <v>197136296880</v>
      </c>
    </row>
    <row r="279" spans="1:12" ht="15.75" customHeight="1" x14ac:dyDescent="0.3">
      <c r="A279" s="1" t="s">
        <v>24</v>
      </c>
      <c r="B279" s="1" t="s">
        <v>28</v>
      </c>
      <c r="C279" s="1">
        <v>0</v>
      </c>
      <c r="D279" s="1">
        <v>2022</v>
      </c>
      <c r="E279" s="1">
        <f t="shared" ca="1" si="5"/>
        <v>5.5262546394713286E-2</v>
      </c>
      <c r="F279" s="2">
        <v>68000</v>
      </c>
      <c r="G279" s="2">
        <f t="shared" si="6"/>
        <v>0</v>
      </c>
      <c r="H279" s="4">
        <v>28</v>
      </c>
      <c r="I279" s="1">
        <v>18000</v>
      </c>
      <c r="J279" s="2">
        <f t="shared" si="7"/>
        <v>0</v>
      </c>
      <c r="K279" s="2">
        <f t="shared" si="8"/>
        <v>0</v>
      </c>
      <c r="L279" s="2">
        <f t="shared" si="9"/>
        <v>0</v>
      </c>
    </row>
    <row r="280" spans="1:12" ht="15.75" customHeight="1" x14ac:dyDescent="0.3">
      <c r="A280" s="1" t="s">
        <v>24</v>
      </c>
      <c r="B280" s="1" t="s">
        <v>48</v>
      </c>
      <c r="C280" s="1">
        <v>4.1399999999999997</v>
      </c>
      <c r="D280" s="1">
        <v>2022</v>
      </c>
      <c r="E280" s="1">
        <f t="shared" ca="1" si="5"/>
        <v>0.85347525873806707</v>
      </c>
      <c r="F280" s="2">
        <v>68000</v>
      </c>
      <c r="G280" s="2">
        <f t="shared" si="6"/>
        <v>281520000</v>
      </c>
      <c r="H280" s="4">
        <v>28</v>
      </c>
      <c r="I280" s="1">
        <v>18000</v>
      </c>
      <c r="J280" s="2">
        <f t="shared" si="7"/>
        <v>115.91999999999999</v>
      </c>
      <c r="K280" s="2">
        <f t="shared" si="8"/>
        <v>2086559.9999999998</v>
      </c>
      <c r="L280" s="2">
        <f t="shared" si="9"/>
        <v>279433440</v>
      </c>
    </row>
    <row r="281" spans="1:12" ht="15.75" customHeight="1" x14ac:dyDescent="0.3">
      <c r="A281" s="1" t="s">
        <v>24</v>
      </c>
      <c r="B281" s="1" t="s">
        <v>48</v>
      </c>
      <c r="C281" s="1">
        <v>4.03</v>
      </c>
      <c r="D281" s="1">
        <v>2021</v>
      </c>
      <c r="E281" s="1">
        <f t="shared" ca="1" si="5"/>
        <v>0.81105828455568418</v>
      </c>
      <c r="F281" s="2">
        <v>68000</v>
      </c>
      <c r="G281" s="2">
        <f t="shared" si="6"/>
        <v>274040000.00000006</v>
      </c>
      <c r="H281" s="4">
        <v>33</v>
      </c>
      <c r="I281" s="1">
        <v>18000</v>
      </c>
      <c r="J281" s="2">
        <f t="shared" si="7"/>
        <v>132.99</v>
      </c>
      <c r="K281" s="2">
        <f t="shared" si="8"/>
        <v>2393820</v>
      </c>
      <c r="L281" s="2">
        <f t="shared" si="9"/>
        <v>271646180.00000006</v>
      </c>
    </row>
    <row r="282" spans="1:12" ht="15.75" customHeight="1" x14ac:dyDescent="0.3">
      <c r="A282" s="1" t="s">
        <v>20</v>
      </c>
      <c r="B282" s="1" t="s">
        <v>23</v>
      </c>
      <c r="C282" s="1">
        <v>80995.58</v>
      </c>
      <c r="D282" s="1">
        <v>2020</v>
      </c>
      <c r="E282" s="1">
        <f t="shared" ca="1" si="5"/>
        <v>6.3782805109263485E-2</v>
      </c>
      <c r="F282" s="2">
        <v>150000</v>
      </c>
      <c r="G282" s="2">
        <f t="shared" si="6"/>
        <v>12149337000000</v>
      </c>
      <c r="H282" s="4">
        <v>38</v>
      </c>
      <c r="I282" s="1">
        <v>17800</v>
      </c>
      <c r="J282" s="2">
        <f t="shared" si="7"/>
        <v>3077832.04</v>
      </c>
      <c r="K282" s="2">
        <f t="shared" si="8"/>
        <v>54785410312</v>
      </c>
      <c r="L282" s="2">
        <f t="shared" si="9"/>
        <v>12094551589688</v>
      </c>
    </row>
    <row r="283" spans="1:12" ht="15.75" customHeight="1" x14ac:dyDescent="0.3">
      <c r="A283" s="1" t="s">
        <v>24</v>
      </c>
      <c r="B283" s="1" t="s">
        <v>29</v>
      </c>
      <c r="C283" s="1">
        <v>2488.58</v>
      </c>
      <c r="D283" s="1">
        <v>2022</v>
      </c>
      <c r="E283" s="1">
        <f t="shared" ca="1" si="5"/>
        <v>0.52898882205989139</v>
      </c>
      <c r="F283" s="2">
        <v>68000</v>
      </c>
      <c r="G283" s="2">
        <f t="shared" si="6"/>
        <v>169223440000</v>
      </c>
      <c r="H283" s="4">
        <v>28</v>
      </c>
      <c r="I283" s="1">
        <v>18000</v>
      </c>
      <c r="J283" s="2">
        <f t="shared" si="7"/>
        <v>69680.239999999991</v>
      </c>
      <c r="K283" s="2">
        <f t="shared" si="8"/>
        <v>1254244319.9999998</v>
      </c>
      <c r="L283" s="2">
        <f t="shared" si="9"/>
        <v>167969195680</v>
      </c>
    </row>
    <row r="284" spans="1:12" ht="15.75" customHeight="1" x14ac:dyDescent="0.3">
      <c r="A284" s="1" t="s">
        <v>15</v>
      </c>
      <c r="B284" s="1" t="s">
        <v>21</v>
      </c>
      <c r="C284" s="1">
        <v>735883.59</v>
      </c>
      <c r="D284" s="1">
        <v>2021</v>
      </c>
      <c r="E284" s="1">
        <f t="shared" ca="1" si="5"/>
        <v>0.97086070756049758</v>
      </c>
      <c r="F284" s="2">
        <v>34000</v>
      </c>
      <c r="G284" s="2">
        <f t="shared" si="6"/>
        <v>25020042060000</v>
      </c>
      <c r="H284" s="4">
        <v>21</v>
      </c>
      <c r="I284" s="1">
        <v>9000</v>
      </c>
      <c r="J284" s="2">
        <f t="shared" si="7"/>
        <v>15453555.389999999</v>
      </c>
      <c r="K284" s="2">
        <f t="shared" si="8"/>
        <v>139081998510</v>
      </c>
      <c r="L284" s="2">
        <f t="shared" si="9"/>
        <v>24880960061490</v>
      </c>
    </row>
    <row r="285" spans="1:12" ht="15.75" customHeight="1" x14ac:dyDescent="0.3">
      <c r="A285" s="1" t="s">
        <v>24</v>
      </c>
      <c r="B285" s="1" t="s">
        <v>45</v>
      </c>
      <c r="C285" s="1">
        <v>0</v>
      </c>
      <c r="D285" s="1">
        <v>2020</v>
      </c>
      <c r="E285" s="1">
        <f t="shared" ca="1" si="5"/>
        <v>0.44556036897592999</v>
      </c>
      <c r="F285" s="2">
        <v>68000</v>
      </c>
      <c r="G285" s="2">
        <f t="shared" si="6"/>
        <v>0</v>
      </c>
      <c r="H285" s="4">
        <v>31</v>
      </c>
      <c r="I285" s="1">
        <v>18000</v>
      </c>
      <c r="J285" s="2">
        <f t="shared" si="7"/>
        <v>0</v>
      </c>
      <c r="K285" s="2">
        <f t="shared" si="8"/>
        <v>0</v>
      </c>
      <c r="L285" s="2">
        <f t="shared" si="9"/>
        <v>0</v>
      </c>
    </row>
    <row r="286" spans="1:12" ht="15.75" customHeight="1" x14ac:dyDescent="0.3">
      <c r="A286" s="1" t="s">
        <v>20</v>
      </c>
      <c r="B286" s="1" t="s">
        <v>43</v>
      </c>
      <c r="C286" s="1">
        <v>14358.28</v>
      </c>
      <c r="D286" s="1">
        <v>2020</v>
      </c>
      <c r="E286" s="1">
        <f t="shared" ca="1" si="5"/>
        <v>0.9235709041138197</v>
      </c>
      <c r="F286" s="2">
        <v>150000</v>
      </c>
      <c r="G286" s="2">
        <f t="shared" si="6"/>
        <v>2153742000000</v>
      </c>
      <c r="H286" s="4">
        <v>38</v>
      </c>
      <c r="I286" s="1">
        <v>17800</v>
      </c>
      <c r="J286" s="2">
        <f t="shared" si="7"/>
        <v>545614.64</v>
      </c>
      <c r="K286" s="2">
        <f t="shared" si="8"/>
        <v>9711940592</v>
      </c>
      <c r="L286" s="2">
        <f t="shared" si="9"/>
        <v>2144030059408</v>
      </c>
    </row>
    <row r="287" spans="1:12" ht="15.75" customHeight="1" x14ac:dyDescent="0.3">
      <c r="A287" s="1" t="s">
        <v>13</v>
      </c>
      <c r="B287" s="1" t="s">
        <v>29</v>
      </c>
      <c r="C287" s="1">
        <v>2878.93</v>
      </c>
      <c r="D287" s="1">
        <v>2022</v>
      </c>
      <c r="E287" s="1">
        <f t="shared" ca="1" si="5"/>
        <v>0.8637625173433906</v>
      </c>
      <c r="F287" s="2">
        <v>50000</v>
      </c>
      <c r="G287" s="2">
        <f t="shared" si="6"/>
        <v>143946500000</v>
      </c>
      <c r="H287" s="4">
        <v>29</v>
      </c>
      <c r="I287" s="1">
        <v>9800</v>
      </c>
      <c r="J287" s="2">
        <f t="shared" si="7"/>
        <v>83488.97</v>
      </c>
      <c r="K287" s="2">
        <f t="shared" si="8"/>
        <v>818191906</v>
      </c>
      <c r="L287" s="2">
        <f t="shared" si="9"/>
        <v>143128308094</v>
      </c>
    </row>
    <row r="288" spans="1:12" ht="15.75" customHeight="1" x14ac:dyDescent="0.3">
      <c r="A288" s="1" t="s">
        <v>20</v>
      </c>
      <c r="B288" s="1" t="s">
        <v>49</v>
      </c>
      <c r="C288" s="1">
        <v>11674.1</v>
      </c>
      <c r="D288" s="1">
        <v>2021</v>
      </c>
      <c r="E288" s="1">
        <f t="shared" ca="1" si="5"/>
        <v>0.98804409214166533</v>
      </c>
      <c r="F288" s="2">
        <v>150000</v>
      </c>
      <c r="G288" s="2">
        <f t="shared" si="6"/>
        <v>1751115000000</v>
      </c>
      <c r="H288" s="4">
        <v>39</v>
      </c>
      <c r="I288" s="1">
        <v>17800</v>
      </c>
      <c r="J288" s="2">
        <f t="shared" si="7"/>
        <v>455289.9</v>
      </c>
      <c r="K288" s="2">
        <f t="shared" si="8"/>
        <v>8104160220</v>
      </c>
      <c r="L288" s="2">
        <f t="shared" si="9"/>
        <v>1743010839780</v>
      </c>
    </row>
    <row r="289" spans="1:12" ht="15.75" customHeight="1" x14ac:dyDescent="0.3">
      <c r="A289" s="1" t="s">
        <v>15</v>
      </c>
      <c r="B289" s="1" t="s">
        <v>38</v>
      </c>
      <c r="C289" s="1">
        <v>3050.77</v>
      </c>
      <c r="D289" s="1">
        <v>2022</v>
      </c>
      <c r="E289" s="1">
        <f t="shared" ca="1" si="5"/>
        <v>0.98123219507027337</v>
      </c>
      <c r="F289" s="2">
        <v>34000</v>
      </c>
      <c r="G289" s="2">
        <f t="shared" si="6"/>
        <v>103726180000</v>
      </c>
      <c r="H289" s="4">
        <v>20</v>
      </c>
      <c r="I289" s="1">
        <v>9000</v>
      </c>
      <c r="J289" s="2">
        <f t="shared" si="7"/>
        <v>61015.4</v>
      </c>
      <c r="K289" s="2">
        <f t="shared" si="8"/>
        <v>549138600</v>
      </c>
      <c r="L289" s="2">
        <f t="shared" si="9"/>
        <v>103177041400</v>
      </c>
    </row>
    <row r="290" spans="1:12" ht="15.75" customHeight="1" x14ac:dyDescent="0.3">
      <c r="A290" s="1" t="s">
        <v>20</v>
      </c>
      <c r="B290" s="1" t="s">
        <v>29</v>
      </c>
      <c r="C290" s="1">
        <v>7899.9</v>
      </c>
      <c r="D290" s="1">
        <v>2022</v>
      </c>
      <c r="E290" s="1">
        <f t="shared" ca="1" si="5"/>
        <v>0.6886196982202899</v>
      </c>
      <c r="F290" s="2">
        <v>150000</v>
      </c>
      <c r="G290" s="2">
        <f t="shared" si="6"/>
        <v>1184985000000</v>
      </c>
      <c r="H290" s="4">
        <v>40</v>
      </c>
      <c r="I290" s="1">
        <v>17800</v>
      </c>
      <c r="J290" s="2">
        <f t="shared" si="7"/>
        <v>315996</v>
      </c>
      <c r="K290" s="2">
        <f t="shared" si="8"/>
        <v>5624728800</v>
      </c>
      <c r="L290" s="2">
        <f t="shared" si="9"/>
        <v>1179360271200</v>
      </c>
    </row>
    <row r="291" spans="1:12" ht="15.75" customHeight="1" x14ac:dyDescent="0.3">
      <c r="A291" s="1" t="s">
        <v>13</v>
      </c>
      <c r="B291" s="1" t="s">
        <v>16</v>
      </c>
      <c r="C291" s="1">
        <v>560.34</v>
      </c>
      <c r="D291" s="1">
        <v>2021</v>
      </c>
      <c r="E291" s="1">
        <f t="shared" ca="1" si="5"/>
        <v>0.21208773953209548</v>
      </c>
      <c r="F291" s="2">
        <v>50000</v>
      </c>
      <c r="G291" s="2">
        <f t="shared" si="6"/>
        <v>28017000000</v>
      </c>
      <c r="H291" s="4">
        <v>26</v>
      </c>
      <c r="I291" s="1">
        <v>9800</v>
      </c>
      <c r="J291" s="2">
        <f t="shared" si="7"/>
        <v>14568.84</v>
      </c>
      <c r="K291" s="2">
        <f t="shared" si="8"/>
        <v>142774632</v>
      </c>
      <c r="L291" s="2">
        <f t="shared" si="9"/>
        <v>27874225368</v>
      </c>
    </row>
    <row r="292" spans="1:12" ht="15.75" customHeight="1" x14ac:dyDescent="0.3">
      <c r="A292" s="1" t="s">
        <v>24</v>
      </c>
      <c r="B292" s="1" t="s">
        <v>35</v>
      </c>
      <c r="C292" s="1">
        <v>37.9</v>
      </c>
      <c r="D292" s="1">
        <v>2020</v>
      </c>
      <c r="E292" s="1">
        <f t="shared" ca="1" si="5"/>
        <v>0.30538559648302133</v>
      </c>
      <c r="F292" s="2">
        <v>68000</v>
      </c>
      <c r="G292" s="2">
        <f t="shared" si="6"/>
        <v>2577200000</v>
      </c>
      <c r="H292" s="4">
        <v>31</v>
      </c>
      <c r="I292" s="1">
        <v>18000</v>
      </c>
      <c r="J292" s="2">
        <f t="shared" si="7"/>
        <v>1174.8999999999999</v>
      </c>
      <c r="K292" s="2">
        <f t="shared" si="8"/>
        <v>21148199.999999996</v>
      </c>
      <c r="L292" s="2">
        <f t="shared" si="9"/>
        <v>2556051800</v>
      </c>
    </row>
    <row r="293" spans="1:12" ht="15.75" customHeight="1" x14ac:dyDescent="0.3">
      <c r="A293" s="1" t="s">
        <v>15</v>
      </c>
      <c r="B293" s="1" t="s">
        <v>39</v>
      </c>
      <c r="C293" s="1">
        <v>176855.43</v>
      </c>
      <c r="D293" s="1">
        <v>2022</v>
      </c>
      <c r="E293" s="1">
        <f t="shared" ca="1" si="5"/>
        <v>0.88443446049890995</v>
      </c>
      <c r="F293" s="2">
        <v>34000</v>
      </c>
      <c r="G293" s="2">
        <f t="shared" si="6"/>
        <v>6013084620000</v>
      </c>
      <c r="H293" s="4">
        <v>20</v>
      </c>
      <c r="I293" s="1">
        <v>9000</v>
      </c>
      <c r="J293" s="2">
        <f t="shared" si="7"/>
        <v>3537108.5999999996</v>
      </c>
      <c r="K293" s="2">
        <f t="shared" si="8"/>
        <v>31833977399.999996</v>
      </c>
      <c r="L293" s="2">
        <f t="shared" si="9"/>
        <v>5981250642600</v>
      </c>
    </row>
    <row r="294" spans="1:12" ht="15.75" customHeight="1" x14ac:dyDescent="0.3">
      <c r="A294" s="1" t="s">
        <v>20</v>
      </c>
      <c r="B294" s="1" t="s">
        <v>44</v>
      </c>
      <c r="C294" s="1">
        <v>3491.56</v>
      </c>
      <c r="D294" s="1">
        <v>2020</v>
      </c>
      <c r="E294" s="1">
        <f t="shared" ca="1" si="5"/>
        <v>0.20610039833687444</v>
      </c>
      <c r="F294" s="2">
        <v>150000</v>
      </c>
      <c r="G294" s="2">
        <f t="shared" si="6"/>
        <v>523734000000</v>
      </c>
      <c r="H294" s="4">
        <v>38</v>
      </c>
      <c r="I294" s="1">
        <v>17800</v>
      </c>
      <c r="J294" s="2">
        <f t="shared" si="7"/>
        <v>132679.28</v>
      </c>
      <c r="K294" s="2">
        <f t="shared" si="8"/>
        <v>2361691184</v>
      </c>
      <c r="L294" s="2">
        <f t="shared" si="9"/>
        <v>521372308816</v>
      </c>
    </row>
    <row r="295" spans="1:12" ht="15.75" customHeight="1" x14ac:dyDescent="0.3">
      <c r="A295" s="1" t="s">
        <v>24</v>
      </c>
      <c r="B295" s="1" t="s">
        <v>26</v>
      </c>
      <c r="C295" s="1">
        <v>563.79</v>
      </c>
      <c r="D295" s="1">
        <v>2021</v>
      </c>
      <c r="E295" s="1">
        <f t="shared" ca="1" si="5"/>
        <v>0.56479399971883337</v>
      </c>
      <c r="F295" s="2">
        <v>68000</v>
      </c>
      <c r="G295" s="2">
        <f t="shared" si="6"/>
        <v>38337720000</v>
      </c>
      <c r="H295" s="4">
        <v>33</v>
      </c>
      <c r="I295" s="1">
        <v>18000</v>
      </c>
      <c r="J295" s="2">
        <f t="shared" si="7"/>
        <v>18605.07</v>
      </c>
      <c r="K295" s="2">
        <f t="shared" si="8"/>
        <v>334891260</v>
      </c>
      <c r="L295" s="2">
        <f t="shared" si="9"/>
        <v>38002828740</v>
      </c>
    </row>
    <row r="296" spans="1:12" ht="15.75" customHeight="1" x14ac:dyDescent="0.3">
      <c r="A296" s="1" t="s">
        <v>17</v>
      </c>
      <c r="B296" s="1" t="s">
        <v>37</v>
      </c>
      <c r="C296" s="1">
        <v>243.89</v>
      </c>
      <c r="D296" s="1">
        <v>2020</v>
      </c>
      <c r="E296" s="1">
        <f t="shared" ca="1" si="5"/>
        <v>0.64288303813711756</v>
      </c>
      <c r="F296" s="2">
        <v>130000</v>
      </c>
      <c r="G296" s="2">
        <f t="shared" si="6"/>
        <v>31705700000</v>
      </c>
      <c r="H296" s="4">
        <v>35</v>
      </c>
      <c r="I296" s="1">
        <v>17000</v>
      </c>
      <c r="J296" s="2">
        <f t="shared" si="7"/>
        <v>8536.15</v>
      </c>
      <c r="K296" s="2">
        <f t="shared" si="8"/>
        <v>145114550</v>
      </c>
      <c r="L296" s="2">
        <f t="shared" si="9"/>
        <v>31560585450</v>
      </c>
    </row>
    <row r="297" spans="1:12" ht="15.75" customHeight="1" x14ac:dyDescent="0.3">
      <c r="A297" s="1" t="s">
        <v>15</v>
      </c>
      <c r="B297" s="1" t="s">
        <v>45</v>
      </c>
      <c r="C297" s="1">
        <v>948.45</v>
      </c>
      <c r="D297" s="1">
        <v>2020</v>
      </c>
      <c r="E297" s="1">
        <f t="shared" ca="1" si="5"/>
        <v>0.34640961680551818</v>
      </c>
      <c r="F297" s="2">
        <v>34000</v>
      </c>
      <c r="G297" s="2">
        <f t="shared" si="6"/>
        <v>32247300000</v>
      </c>
      <c r="H297" s="4">
        <v>25</v>
      </c>
      <c r="I297" s="1">
        <v>9000</v>
      </c>
      <c r="J297" s="2">
        <f t="shared" si="7"/>
        <v>23711.25</v>
      </c>
      <c r="K297" s="2">
        <f t="shared" si="8"/>
        <v>213401250</v>
      </c>
      <c r="L297" s="2">
        <f t="shared" si="9"/>
        <v>32033898750</v>
      </c>
    </row>
    <row r="298" spans="1:12" ht="15.75" customHeight="1" x14ac:dyDescent="0.3">
      <c r="A298" s="1" t="s">
        <v>13</v>
      </c>
      <c r="B298" s="1" t="s">
        <v>41</v>
      </c>
      <c r="C298" s="1">
        <v>1538.25</v>
      </c>
      <c r="D298" s="1">
        <v>2020</v>
      </c>
      <c r="E298" s="1">
        <f t="shared" ca="1" si="5"/>
        <v>0.80616582377044665</v>
      </c>
      <c r="F298" s="2">
        <v>50000</v>
      </c>
      <c r="G298" s="2">
        <f t="shared" si="6"/>
        <v>76912500000</v>
      </c>
      <c r="H298" s="4">
        <v>27</v>
      </c>
      <c r="I298" s="1">
        <v>9800</v>
      </c>
      <c r="J298" s="2">
        <f t="shared" si="7"/>
        <v>41532.75</v>
      </c>
      <c r="K298" s="2">
        <f t="shared" si="8"/>
        <v>407020950</v>
      </c>
      <c r="L298" s="2">
        <f t="shared" si="9"/>
        <v>76505479050</v>
      </c>
    </row>
    <row r="299" spans="1:12" ht="15.75" customHeight="1" x14ac:dyDescent="0.3">
      <c r="A299" s="1" t="s">
        <v>13</v>
      </c>
      <c r="B299" s="1" t="s">
        <v>14</v>
      </c>
      <c r="C299" s="1">
        <v>48104.35</v>
      </c>
      <c r="D299" s="1">
        <v>2022</v>
      </c>
      <c r="E299" s="1">
        <f t="shared" ca="1" si="5"/>
        <v>0.95684496154931031</v>
      </c>
      <c r="F299" s="2">
        <v>50000</v>
      </c>
      <c r="G299" s="2">
        <f t="shared" si="6"/>
        <v>2405217500000</v>
      </c>
      <c r="H299" s="4">
        <v>29</v>
      </c>
      <c r="I299" s="1">
        <v>9800</v>
      </c>
      <c r="J299" s="2">
        <f t="shared" si="7"/>
        <v>1395026.15</v>
      </c>
      <c r="K299" s="2">
        <f t="shared" si="8"/>
        <v>13671256270</v>
      </c>
      <c r="L299" s="2">
        <f t="shared" si="9"/>
        <v>2391546243730</v>
      </c>
    </row>
    <row r="300" spans="1:12" ht="15.75" customHeight="1" x14ac:dyDescent="0.3">
      <c r="A300" s="1" t="s">
        <v>20</v>
      </c>
      <c r="B300" s="1" t="s">
        <v>43</v>
      </c>
      <c r="C300" s="1">
        <v>13832.62</v>
      </c>
      <c r="D300" s="1">
        <v>2021</v>
      </c>
      <c r="E300" s="1">
        <f t="shared" ca="1" si="5"/>
        <v>0.84235599533013994</v>
      </c>
      <c r="F300" s="2">
        <v>150000</v>
      </c>
      <c r="G300" s="2">
        <f t="shared" si="6"/>
        <v>2074893000000</v>
      </c>
      <c r="H300" s="4">
        <v>39</v>
      </c>
      <c r="I300" s="1">
        <v>17800</v>
      </c>
      <c r="J300" s="2">
        <f t="shared" si="7"/>
        <v>539472.18000000005</v>
      </c>
      <c r="K300" s="2">
        <f t="shared" si="8"/>
        <v>9602604804</v>
      </c>
      <c r="L300" s="2">
        <f t="shared" si="9"/>
        <v>2065290395196</v>
      </c>
    </row>
    <row r="301" spans="1:12" ht="15.75" customHeight="1" x14ac:dyDescent="0.3">
      <c r="A301" s="1" t="s">
        <v>24</v>
      </c>
      <c r="B301" s="1" t="s">
        <v>40</v>
      </c>
      <c r="C301" s="1">
        <v>136.38999999999999</v>
      </c>
      <c r="D301" s="1">
        <v>2020</v>
      </c>
      <c r="E301" s="1">
        <f t="shared" ca="1" si="5"/>
        <v>0.69739508770379155</v>
      </c>
      <c r="F301" s="2">
        <v>68000</v>
      </c>
      <c r="G301" s="2">
        <f t="shared" si="6"/>
        <v>9274520000</v>
      </c>
      <c r="H301" s="4">
        <v>31</v>
      </c>
      <c r="I301" s="1">
        <v>18000</v>
      </c>
      <c r="J301" s="2">
        <f t="shared" si="7"/>
        <v>4228.0899999999992</v>
      </c>
      <c r="K301" s="2">
        <f t="shared" si="8"/>
        <v>76105619.999999985</v>
      </c>
      <c r="L301" s="2">
        <f t="shared" si="9"/>
        <v>9198414380</v>
      </c>
    </row>
    <row r="302" spans="1:12" ht="15.75" customHeight="1" x14ac:dyDescent="0.3">
      <c r="A302" s="1" t="s">
        <v>24</v>
      </c>
      <c r="B302" s="1" t="s">
        <v>14</v>
      </c>
      <c r="C302" s="1">
        <v>6555.16</v>
      </c>
      <c r="D302" s="1">
        <v>2020</v>
      </c>
      <c r="E302" s="1">
        <f t="shared" ca="1" si="5"/>
        <v>0.70360948266652756</v>
      </c>
      <c r="F302" s="2">
        <v>68000</v>
      </c>
      <c r="G302" s="2">
        <f t="shared" si="6"/>
        <v>445750880000</v>
      </c>
      <c r="H302" s="4">
        <v>31</v>
      </c>
      <c r="I302" s="1">
        <v>18000</v>
      </c>
      <c r="J302" s="2">
        <f t="shared" si="7"/>
        <v>203209.96</v>
      </c>
      <c r="K302" s="2">
        <f t="shared" si="8"/>
        <v>3657779280</v>
      </c>
      <c r="L302" s="2">
        <f t="shared" si="9"/>
        <v>442093100720</v>
      </c>
    </row>
    <row r="303" spans="1:12" ht="15.75" customHeight="1" x14ac:dyDescent="0.3">
      <c r="A303" s="1" t="s">
        <v>24</v>
      </c>
      <c r="B303" s="1" t="s">
        <v>50</v>
      </c>
      <c r="C303" s="1">
        <v>141.6</v>
      </c>
      <c r="D303" s="1">
        <v>2021</v>
      </c>
      <c r="E303" s="1">
        <f t="shared" ca="1" si="5"/>
        <v>0.56077708842571061</v>
      </c>
      <c r="F303" s="2">
        <v>68000</v>
      </c>
      <c r="G303" s="2">
        <f t="shared" si="6"/>
        <v>9628800000</v>
      </c>
      <c r="H303" s="4">
        <v>33</v>
      </c>
      <c r="I303" s="1">
        <v>18000</v>
      </c>
      <c r="J303" s="2">
        <f t="shared" si="7"/>
        <v>4672.8</v>
      </c>
      <c r="K303" s="2">
        <f t="shared" si="8"/>
        <v>84110400</v>
      </c>
      <c r="L303" s="2">
        <f t="shared" si="9"/>
        <v>9544689600</v>
      </c>
    </row>
    <row r="304" spans="1:12" ht="15.75" customHeight="1" x14ac:dyDescent="0.3">
      <c r="A304" s="1" t="s">
        <v>15</v>
      </c>
      <c r="B304" s="1" t="s">
        <v>43</v>
      </c>
      <c r="C304" s="1">
        <v>185928.45</v>
      </c>
      <c r="D304" s="1">
        <v>2021</v>
      </c>
      <c r="E304" s="1">
        <f t="shared" ca="1" si="5"/>
        <v>0.3947923445215854</v>
      </c>
      <c r="F304" s="2">
        <v>34000</v>
      </c>
      <c r="G304" s="2">
        <f t="shared" si="6"/>
        <v>6321567300000</v>
      </c>
      <c r="H304" s="4">
        <v>21</v>
      </c>
      <c r="I304" s="1">
        <v>9000</v>
      </c>
      <c r="J304" s="2">
        <f t="shared" si="7"/>
        <v>3904497.45</v>
      </c>
      <c r="K304" s="2">
        <f t="shared" si="8"/>
        <v>35140477050</v>
      </c>
      <c r="L304" s="2">
        <f t="shared" si="9"/>
        <v>6286426822950</v>
      </c>
    </row>
    <row r="305" spans="1:12" ht="15.75" customHeight="1" x14ac:dyDescent="0.3">
      <c r="A305" s="1" t="s">
        <v>15</v>
      </c>
      <c r="B305" s="1" t="s">
        <v>21</v>
      </c>
      <c r="C305" s="1">
        <v>659387.54</v>
      </c>
      <c r="D305" s="1">
        <v>2020</v>
      </c>
      <c r="E305" s="1">
        <f t="shared" ca="1" si="5"/>
        <v>0.54837408667451326</v>
      </c>
      <c r="F305" s="2">
        <v>34000</v>
      </c>
      <c r="G305" s="2">
        <f t="shared" si="6"/>
        <v>22419176360000</v>
      </c>
      <c r="H305" s="4">
        <v>25</v>
      </c>
      <c r="I305" s="1">
        <v>9000</v>
      </c>
      <c r="J305" s="2">
        <f t="shared" si="7"/>
        <v>16484688.5</v>
      </c>
      <c r="K305" s="2">
        <f t="shared" si="8"/>
        <v>148362196500</v>
      </c>
      <c r="L305" s="2">
        <f t="shared" si="9"/>
        <v>22270814163500</v>
      </c>
    </row>
    <row r="306" spans="1:12" ht="15.75" customHeight="1" x14ac:dyDescent="0.3">
      <c r="A306" s="1" t="s">
        <v>24</v>
      </c>
      <c r="B306" s="1" t="s">
        <v>18</v>
      </c>
      <c r="C306" s="1">
        <v>2.33</v>
      </c>
      <c r="D306" s="1">
        <v>2021</v>
      </c>
      <c r="E306" s="1">
        <f t="shared" ca="1" si="5"/>
        <v>0.13897746363818719</v>
      </c>
      <c r="F306" s="2">
        <v>68000</v>
      </c>
      <c r="G306" s="2">
        <f t="shared" si="6"/>
        <v>158440000</v>
      </c>
      <c r="H306" s="4">
        <v>33</v>
      </c>
      <c r="I306" s="1">
        <v>18000</v>
      </c>
      <c r="J306" s="2">
        <f t="shared" si="7"/>
        <v>76.89</v>
      </c>
      <c r="K306" s="2">
        <f t="shared" si="8"/>
        <v>1384020</v>
      </c>
      <c r="L306" s="2">
        <f t="shared" si="9"/>
        <v>157055980</v>
      </c>
    </row>
    <row r="307" spans="1:12" ht="15.75" customHeight="1" x14ac:dyDescent="0.3">
      <c r="A307" s="1" t="s">
        <v>20</v>
      </c>
      <c r="B307" s="1" t="s">
        <v>48</v>
      </c>
      <c r="C307" s="1">
        <v>7328.53</v>
      </c>
      <c r="D307" s="1">
        <v>2021</v>
      </c>
      <c r="E307" s="1">
        <f t="shared" ca="1" si="5"/>
        <v>0.68629479357991519</v>
      </c>
      <c r="F307" s="2">
        <v>150000</v>
      </c>
      <c r="G307" s="2">
        <f t="shared" si="6"/>
        <v>1099279500000</v>
      </c>
      <c r="H307" s="4">
        <v>39</v>
      </c>
      <c r="I307" s="1">
        <v>17800</v>
      </c>
      <c r="J307" s="2">
        <f t="shared" si="7"/>
        <v>285812.67</v>
      </c>
      <c r="K307" s="2">
        <f t="shared" si="8"/>
        <v>5087465526</v>
      </c>
      <c r="L307" s="2">
        <f t="shared" si="9"/>
        <v>1094192034474</v>
      </c>
    </row>
    <row r="308" spans="1:12" ht="15.75" customHeight="1" x14ac:dyDescent="0.3">
      <c r="A308" s="1" t="s">
        <v>24</v>
      </c>
      <c r="B308" s="1" t="s">
        <v>49</v>
      </c>
      <c r="C308" s="1">
        <v>350.55</v>
      </c>
      <c r="D308" s="1">
        <v>2020</v>
      </c>
      <c r="E308" s="1">
        <f t="shared" ca="1" si="5"/>
        <v>0.66537069952851147</v>
      </c>
      <c r="F308" s="2">
        <v>68000</v>
      </c>
      <c r="G308" s="2">
        <f t="shared" si="6"/>
        <v>23837400000</v>
      </c>
      <c r="H308" s="4">
        <v>31</v>
      </c>
      <c r="I308" s="1">
        <v>18000</v>
      </c>
      <c r="J308" s="2">
        <f t="shared" si="7"/>
        <v>10867.050000000001</v>
      </c>
      <c r="K308" s="2">
        <f t="shared" si="8"/>
        <v>195606900.00000003</v>
      </c>
      <c r="L308" s="2">
        <f t="shared" si="9"/>
        <v>23641793100</v>
      </c>
    </row>
    <row r="309" spans="1:12" ht="15.75" customHeight="1" x14ac:dyDescent="0.3">
      <c r="A309" s="1" t="s">
        <v>20</v>
      </c>
      <c r="B309" s="1" t="s">
        <v>38</v>
      </c>
      <c r="C309" s="1">
        <v>3965.53</v>
      </c>
      <c r="D309" s="1">
        <v>2021</v>
      </c>
      <c r="E309" s="1">
        <f t="shared" ca="1" si="5"/>
        <v>0.67102491944258835</v>
      </c>
      <c r="F309" s="2">
        <v>150000</v>
      </c>
      <c r="G309" s="2">
        <f t="shared" si="6"/>
        <v>594829500000</v>
      </c>
      <c r="H309" s="4">
        <v>39</v>
      </c>
      <c r="I309" s="1">
        <v>17800</v>
      </c>
      <c r="J309" s="2">
        <f t="shared" si="7"/>
        <v>154655.67000000001</v>
      </c>
      <c r="K309" s="2">
        <f t="shared" si="8"/>
        <v>2752870926</v>
      </c>
      <c r="L309" s="2">
        <f t="shared" si="9"/>
        <v>592076629074</v>
      </c>
    </row>
    <row r="310" spans="1:12" ht="15.75" customHeight="1" x14ac:dyDescent="0.3">
      <c r="A310" s="1" t="s">
        <v>13</v>
      </c>
      <c r="B310" s="1" t="s">
        <v>29</v>
      </c>
      <c r="C310" s="1">
        <v>2874.63</v>
      </c>
      <c r="D310" s="1">
        <v>2021</v>
      </c>
      <c r="E310" s="1">
        <f t="shared" ca="1" si="5"/>
        <v>0.53797248688566168</v>
      </c>
      <c r="F310" s="2">
        <v>50000</v>
      </c>
      <c r="G310" s="2">
        <f t="shared" si="6"/>
        <v>143731500000</v>
      </c>
      <c r="H310" s="4">
        <v>26</v>
      </c>
      <c r="I310" s="1">
        <v>9800</v>
      </c>
      <c r="J310" s="2">
        <f t="shared" si="7"/>
        <v>74740.38</v>
      </c>
      <c r="K310" s="2">
        <f t="shared" si="8"/>
        <v>732455724</v>
      </c>
      <c r="L310" s="2">
        <f t="shared" si="9"/>
        <v>142999044276</v>
      </c>
    </row>
    <row r="311" spans="1:12" ht="15.75" customHeight="1" x14ac:dyDescent="0.3">
      <c r="A311" s="1" t="s">
        <v>17</v>
      </c>
      <c r="B311" s="1" t="s">
        <v>37</v>
      </c>
      <c r="C311" s="1">
        <v>178.85</v>
      </c>
      <c r="D311" s="1">
        <v>2021</v>
      </c>
      <c r="E311" s="1">
        <f t="shared" ca="1" si="5"/>
        <v>0.89074960383647384</v>
      </c>
      <c r="F311" s="2">
        <v>130000</v>
      </c>
      <c r="G311" s="2">
        <f t="shared" si="6"/>
        <v>23250500000</v>
      </c>
      <c r="H311" s="4">
        <v>32</v>
      </c>
      <c r="I311" s="1">
        <v>17000</v>
      </c>
      <c r="J311" s="2">
        <f t="shared" si="7"/>
        <v>5723.2</v>
      </c>
      <c r="K311" s="2">
        <f t="shared" si="8"/>
        <v>97294400</v>
      </c>
      <c r="L311" s="2">
        <f t="shared" si="9"/>
        <v>23153205600</v>
      </c>
    </row>
    <row r="312" spans="1:12" ht="15.75" customHeight="1" x14ac:dyDescent="0.3">
      <c r="A312" s="1" t="s">
        <v>13</v>
      </c>
      <c r="B312" s="1" t="s">
        <v>35</v>
      </c>
      <c r="C312" s="1">
        <v>1591.32</v>
      </c>
      <c r="D312" s="1">
        <v>2020</v>
      </c>
      <c r="E312" s="1">
        <f t="shared" ca="1" si="5"/>
        <v>0.20145897918777711</v>
      </c>
      <c r="F312" s="2">
        <v>50000</v>
      </c>
      <c r="G312" s="2">
        <f t="shared" si="6"/>
        <v>79566000000</v>
      </c>
      <c r="H312" s="4">
        <v>27</v>
      </c>
      <c r="I312" s="1">
        <v>9800</v>
      </c>
      <c r="J312" s="2">
        <f t="shared" si="7"/>
        <v>42965.64</v>
      </c>
      <c r="K312" s="2">
        <f t="shared" si="8"/>
        <v>421063272</v>
      </c>
      <c r="L312" s="2">
        <f t="shared" si="9"/>
        <v>79144936728</v>
      </c>
    </row>
    <row r="313" spans="1:12" ht="15.75" customHeight="1" x14ac:dyDescent="0.3">
      <c r="A313" s="1" t="s">
        <v>24</v>
      </c>
      <c r="B313" s="1" t="s">
        <v>35</v>
      </c>
      <c r="C313" s="1">
        <v>40.39</v>
      </c>
      <c r="D313" s="1">
        <v>2022</v>
      </c>
      <c r="E313" s="1">
        <f t="shared" ca="1" si="5"/>
        <v>0.90866305214561116</v>
      </c>
      <c r="F313" s="2">
        <v>68000</v>
      </c>
      <c r="G313" s="2">
        <f t="shared" si="6"/>
        <v>2746520000</v>
      </c>
      <c r="H313" s="4">
        <v>28</v>
      </c>
      <c r="I313" s="1">
        <v>18000</v>
      </c>
      <c r="J313" s="2">
        <f t="shared" si="7"/>
        <v>1130.92</v>
      </c>
      <c r="K313" s="2">
        <f t="shared" si="8"/>
        <v>20356560</v>
      </c>
      <c r="L313" s="2">
        <f t="shared" si="9"/>
        <v>2726163440</v>
      </c>
    </row>
    <row r="314" spans="1:12" ht="15.75" customHeight="1" x14ac:dyDescent="0.3">
      <c r="A314" s="1" t="s">
        <v>17</v>
      </c>
      <c r="B314" s="1" t="s">
        <v>30</v>
      </c>
      <c r="C314" s="1">
        <v>797.75</v>
      </c>
      <c r="D314" s="1">
        <v>2020</v>
      </c>
      <c r="E314" s="1">
        <f t="shared" ca="1" si="5"/>
        <v>0.89308136547962313</v>
      </c>
      <c r="F314" s="2">
        <v>130000</v>
      </c>
      <c r="G314" s="2">
        <f t="shared" si="6"/>
        <v>103707500000</v>
      </c>
      <c r="H314" s="4">
        <v>35</v>
      </c>
      <c r="I314" s="1">
        <v>17000</v>
      </c>
      <c r="J314" s="2">
        <f t="shared" si="7"/>
        <v>27921.25</v>
      </c>
      <c r="K314" s="2">
        <f t="shared" si="8"/>
        <v>474661250</v>
      </c>
      <c r="L314" s="2">
        <f t="shared" si="9"/>
        <v>103232838750</v>
      </c>
    </row>
    <row r="315" spans="1:12" ht="15.75" customHeight="1" x14ac:dyDescent="0.3">
      <c r="A315" s="1" t="s">
        <v>13</v>
      </c>
      <c r="B315" s="1" t="s">
        <v>34</v>
      </c>
      <c r="C315" s="1">
        <v>6866.89</v>
      </c>
      <c r="D315" s="1">
        <v>2022</v>
      </c>
      <c r="E315" s="1">
        <f t="shared" ca="1" si="5"/>
        <v>0.86230716730095736</v>
      </c>
      <c r="F315" s="2">
        <v>50000</v>
      </c>
      <c r="G315" s="2">
        <f t="shared" si="6"/>
        <v>343344500000</v>
      </c>
      <c r="H315" s="4">
        <v>29</v>
      </c>
      <c r="I315" s="1">
        <v>9800</v>
      </c>
      <c r="J315" s="2">
        <f t="shared" si="7"/>
        <v>199139.81</v>
      </c>
      <c r="K315" s="2">
        <f t="shared" si="8"/>
        <v>1951570138</v>
      </c>
      <c r="L315" s="2">
        <f t="shared" si="9"/>
        <v>341392929862</v>
      </c>
    </row>
    <row r="316" spans="1:12" ht="15.75" customHeight="1" x14ac:dyDescent="0.3">
      <c r="A316" s="1" t="s">
        <v>24</v>
      </c>
      <c r="B316" s="1" t="s">
        <v>39</v>
      </c>
      <c r="C316" s="1">
        <v>0</v>
      </c>
      <c r="D316" s="1">
        <v>2021</v>
      </c>
      <c r="E316" s="1">
        <f t="shared" ca="1" si="5"/>
        <v>0.5658760197767787</v>
      </c>
      <c r="F316" s="2">
        <v>68000</v>
      </c>
      <c r="G316" s="2">
        <f t="shared" si="6"/>
        <v>0</v>
      </c>
      <c r="H316" s="4">
        <v>33</v>
      </c>
      <c r="I316" s="1">
        <v>18000</v>
      </c>
      <c r="J316" s="2">
        <f t="shared" si="7"/>
        <v>0</v>
      </c>
      <c r="K316" s="2">
        <f t="shared" si="8"/>
        <v>0</v>
      </c>
      <c r="L316" s="2">
        <f t="shared" si="9"/>
        <v>0</v>
      </c>
    </row>
    <row r="317" spans="1:12" ht="15.75" customHeight="1" x14ac:dyDescent="0.3">
      <c r="A317" s="1" t="s">
        <v>20</v>
      </c>
      <c r="B317" s="1" t="s">
        <v>39</v>
      </c>
      <c r="C317" s="1">
        <v>5068.45</v>
      </c>
      <c r="D317" s="1">
        <v>2020</v>
      </c>
      <c r="E317" s="1">
        <f t="shared" ca="1" si="5"/>
        <v>7.8832270879175326E-2</v>
      </c>
      <c r="F317" s="2">
        <v>150000</v>
      </c>
      <c r="G317" s="2">
        <f t="shared" si="6"/>
        <v>760267500000</v>
      </c>
      <c r="H317" s="4">
        <v>38</v>
      </c>
      <c r="I317" s="1">
        <v>17800</v>
      </c>
      <c r="J317" s="2">
        <f t="shared" si="7"/>
        <v>192601.1</v>
      </c>
      <c r="K317" s="2">
        <f t="shared" si="8"/>
        <v>3428299580</v>
      </c>
      <c r="L317" s="2">
        <f t="shared" si="9"/>
        <v>756839200420</v>
      </c>
    </row>
    <row r="318" spans="1:12" ht="15.75" customHeight="1" x14ac:dyDescent="0.3">
      <c r="A318" s="1" t="s">
        <v>13</v>
      </c>
      <c r="B318" s="1" t="s">
        <v>40</v>
      </c>
      <c r="C318" s="1">
        <v>2186.9299999999998</v>
      </c>
      <c r="D318" s="1">
        <v>2021</v>
      </c>
      <c r="E318" s="1">
        <f t="shared" ca="1" si="5"/>
        <v>9.4839191633339426E-2</v>
      </c>
      <c r="F318" s="2">
        <v>50000</v>
      </c>
      <c r="G318" s="2">
        <f t="shared" si="6"/>
        <v>109346500000</v>
      </c>
      <c r="H318" s="4">
        <v>26</v>
      </c>
      <c r="I318" s="1">
        <v>9800</v>
      </c>
      <c r="J318" s="2">
        <f t="shared" si="7"/>
        <v>56860.179999999993</v>
      </c>
      <c r="K318" s="2">
        <f t="shared" si="8"/>
        <v>557229763.99999988</v>
      </c>
      <c r="L318" s="2">
        <f t="shared" si="9"/>
        <v>108789270236</v>
      </c>
    </row>
    <row r="319" spans="1:12" ht="15.75" customHeight="1" x14ac:dyDescent="0.3">
      <c r="A319" s="1" t="s">
        <v>13</v>
      </c>
      <c r="B319" s="1" t="s">
        <v>14</v>
      </c>
      <c r="C319" s="1">
        <v>44043.55</v>
      </c>
      <c r="D319" s="1">
        <v>2020</v>
      </c>
      <c r="E319" s="1">
        <f t="shared" ca="1" si="5"/>
        <v>4.4478803961117919E-2</v>
      </c>
      <c r="F319" s="2">
        <v>50000</v>
      </c>
      <c r="G319" s="2">
        <f t="shared" si="6"/>
        <v>2202177500000</v>
      </c>
      <c r="H319" s="4">
        <v>27</v>
      </c>
      <c r="I319" s="1">
        <v>9800</v>
      </c>
      <c r="J319" s="2">
        <f t="shared" si="7"/>
        <v>1189175.8500000001</v>
      </c>
      <c r="K319" s="2">
        <f t="shared" si="8"/>
        <v>11653923330</v>
      </c>
      <c r="L319" s="2">
        <f t="shared" si="9"/>
        <v>2190523576670</v>
      </c>
    </row>
    <row r="320" spans="1:12" ht="15.75" customHeight="1" x14ac:dyDescent="0.3">
      <c r="A320" s="1" t="s">
        <v>24</v>
      </c>
      <c r="B320" s="1" t="s">
        <v>22</v>
      </c>
      <c r="C320" s="1">
        <v>0</v>
      </c>
      <c r="D320" s="1">
        <v>2022</v>
      </c>
      <c r="E320" s="1">
        <f t="shared" ca="1" si="5"/>
        <v>0.56862995956022588</v>
      </c>
      <c r="F320" s="2">
        <v>68000</v>
      </c>
      <c r="G320" s="2">
        <f t="shared" si="6"/>
        <v>0</v>
      </c>
      <c r="H320" s="4">
        <v>28</v>
      </c>
      <c r="I320" s="1">
        <v>18000</v>
      </c>
      <c r="J320" s="2">
        <f t="shared" si="7"/>
        <v>0</v>
      </c>
      <c r="K320" s="2">
        <f t="shared" si="8"/>
        <v>0</v>
      </c>
      <c r="L320" s="2">
        <f t="shared" si="9"/>
        <v>0</v>
      </c>
    </row>
    <row r="321" spans="1:12" ht="15.75" customHeight="1" x14ac:dyDescent="0.3">
      <c r="A321" s="1" t="s">
        <v>20</v>
      </c>
      <c r="B321" s="1" t="s">
        <v>46</v>
      </c>
      <c r="C321" s="1">
        <v>5119.5200000000004</v>
      </c>
      <c r="D321" s="1">
        <v>2021</v>
      </c>
      <c r="E321" s="1">
        <f t="shared" ca="1" si="5"/>
        <v>5.1492165296245562E-2</v>
      </c>
      <c r="F321" s="2">
        <v>150000</v>
      </c>
      <c r="G321" s="2">
        <f t="shared" si="6"/>
        <v>767928000000</v>
      </c>
      <c r="H321" s="4">
        <v>39</v>
      </c>
      <c r="I321" s="1">
        <v>17800</v>
      </c>
      <c r="J321" s="2">
        <f t="shared" si="7"/>
        <v>199661.28000000003</v>
      </c>
      <c r="K321" s="2">
        <f t="shared" si="8"/>
        <v>3553970784.0000005</v>
      </c>
      <c r="L321" s="2">
        <f t="shared" si="9"/>
        <v>764374029216</v>
      </c>
    </row>
    <row r="322" spans="1:12" ht="15.75" customHeight="1" x14ac:dyDescent="0.3">
      <c r="A322" s="1" t="s">
        <v>24</v>
      </c>
      <c r="B322" s="1" t="s">
        <v>37</v>
      </c>
      <c r="C322" s="1">
        <v>0</v>
      </c>
      <c r="D322" s="1">
        <v>2020</v>
      </c>
      <c r="E322" s="1">
        <f t="shared" ca="1" si="5"/>
        <v>0.95104005752690302</v>
      </c>
      <c r="F322" s="2">
        <v>68000</v>
      </c>
      <c r="G322" s="2">
        <f t="shared" si="6"/>
        <v>0</v>
      </c>
      <c r="H322" s="4">
        <v>31</v>
      </c>
      <c r="I322" s="1">
        <v>18000</v>
      </c>
      <c r="J322" s="2">
        <f t="shared" si="7"/>
        <v>0</v>
      </c>
      <c r="K322" s="2">
        <f t="shared" si="8"/>
        <v>0</v>
      </c>
      <c r="L322" s="2">
        <f t="shared" si="9"/>
        <v>0</v>
      </c>
    </row>
    <row r="323" spans="1:12" ht="15.75" customHeight="1" x14ac:dyDescent="0.3">
      <c r="A323" s="1" t="s">
        <v>17</v>
      </c>
      <c r="B323" s="1" t="s">
        <v>23</v>
      </c>
      <c r="C323" s="1">
        <v>5509.13</v>
      </c>
      <c r="D323" s="1">
        <v>2022</v>
      </c>
      <c r="E323" s="1">
        <f t="shared" ca="1" si="5"/>
        <v>0.69938239382419276</v>
      </c>
      <c r="F323" s="2">
        <v>130000</v>
      </c>
      <c r="G323" s="2">
        <f t="shared" si="6"/>
        <v>716186900000</v>
      </c>
      <c r="H323" s="4">
        <v>37</v>
      </c>
      <c r="I323" s="1">
        <v>17000</v>
      </c>
      <c r="J323" s="2">
        <f t="shared" si="7"/>
        <v>203837.81</v>
      </c>
      <c r="K323" s="2">
        <f t="shared" si="8"/>
        <v>3465242770</v>
      </c>
      <c r="L323" s="2">
        <f t="shared" si="9"/>
        <v>712721657230</v>
      </c>
    </row>
    <row r="324" spans="1:12" ht="15.75" customHeight="1" x14ac:dyDescent="0.3">
      <c r="A324" s="1" t="s">
        <v>24</v>
      </c>
      <c r="B324" s="1" t="s">
        <v>28</v>
      </c>
      <c r="C324" s="1">
        <v>0</v>
      </c>
      <c r="D324" s="1">
        <v>2021</v>
      </c>
      <c r="E324" s="1">
        <f t="shared" ca="1" si="5"/>
        <v>0.34524682192295475</v>
      </c>
      <c r="F324" s="2">
        <v>68000</v>
      </c>
      <c r="G324" s="2">
        <f t="shared" si="6"/>
        <v>0</v>
      </c>
      <c r="H324" s="4">
        <v>33</v>
      </c>
      <c r="I324" s="1">
        <v>18000</v>
      </c>
      <c r="J324" s="2">
        <f t="shared" si="7"/>
        <v>0</v>
      </c>
      <c r="K324" s="2">
        <f t="shared" si="8"/>
        <v>0</v>
      </c>
      <c r="L324" s="2">
        <f t="shared" si="9"/>
        <v>0</v>
      </c>
    </row>
    <row r="325" spans="1:12" ht="15.75" customHeight="1" x14ac:dyDescent="0.3">
      <c r="A325" s="1" t="s">
        <v>17</v>
      </c>
      <c r="B325" s="1" t="s">
        <v>41</v>
      </c>
      <c r="C325" s="1">
        <v>578.58000000000004</v>
      </c>
      <c r="D325" s="1">
        <v>2020</v>
      </c>
      <c r="E325" s="1">
        <f t="shared" ca="1" si="5"/>
        <v>0.51105019865810275</v>
      </c>
      <c r="F325" s="2">
        <v>130000</v>
      </c>
      <c r="G325" s="2">
        <f t="shared" si="6"/>
        <v>75215400000</v>
      </c>
      <c r="H325" s="4">
        <v>35</v>
      </c>
      <c r="I325" s="1">
        <v>17000</v>
      </c>
      <c r="J325" s="2">
        <f t="shared" si="7"/>
        <v>20250.300000000003</v>
      </c>
      <c r="K325" s="2">
        <f t="shared" si="8"/>
        <v>344255100.00000006</v>
      </c>
      <c r="L325" s="2">
        <f t="shared" si="9"/>
        <v>74871144900</v>
      </c>
    </row>
    <row r="326" spans="1:12" ht="15.75" customHeight="1" x14ac:dyDescent="0.3">
      <c r="A326" s="1" t="s">
        <v>15</v>
      </c>
      <c r="B326" s="1" t="s">
        <v>35</v>
      </c>
      <c r="C326" s="1">
        <v>1691.11</v>
      </c>
      <c r="D326" s="1">
        <v>2022</v>
      </c>
      <c r="E326" s="1">
        <f t="shared" ca="1" si="5"/>
        <v>0.85406848005277225</v>
      </c>
      <c r="F326" s="2">
        <v>34000</v>
      </c>
      <c r="G326" s="2">
        <f t="shared" si="6"/>
        <v>57497740000</v>
      </c>
      <c r="H326" s="4">
        <v>20</v>
      </c>
      <c r="I326" s="1">
        <v>9000</v>
      </c>
      <c r="J326" s="2">
        <f t="shared" si="7"/>
        <v>33822.199999999997</v>
      </c>
      <c r="K326" s="2">
        <f t="shared" si="8"/>
        <v>304399800</v>
      </c>
      <c r="L326" s="2">
        <f t="shared" si="9"/>
        <v>57193340200</v>
      </c>
    </row>
    <row r="327" spans="1:12" ht="15.75" customHeight="1" x14ac:dyDescent="0.3">
      <c r="A327" s="1" t="s">
        <v>13</v>
      </c>
      <c r="B327" s="1" t="s">
        <v>40</v>
      </c>
      <c r="C327" s="1">
        <v>2184.42</v>
      </c>
      <c r="D327" s="1">
        <v>2020</v>
      </c>
      <c r="E327" s="1">
        <f t="shared" ca="1" si="5"/>
        <v>0.16541457034078366</v>
      </c>
      <c r="F327" s="2">
        <v>50000</v>
      </c>
      <c r="G327" s="2">
        <f t="shared" si="6"/>
        <v>109221000000</v>
      </c>
      <c r="H327" s="4">
        <v>27</v>
      </c>
      <c r="I327" s="1">
        <v>9800</v>
      </c>
      <c r="J327" s="2">
        <f t="shared" si="7"/>
        <v>58979.340000000004</v>
      </c>
      <c r="K327" s="2">
        <f t="shared" si="8"/>
        <v>577997532</v>
      </c>
      <c r="L327" s="2">
        <f t="shared" si="9"/>
        <v>108643002468</v>
      </c>
    </row>
    <row r="328" spans="1:12" ht="15.75" customHeight="1" x14ac:dyDescent="0.3">
      <c r="A328" s="1" t="s">
        <v>24</v>
      </c>
      <c r="B328" s="1" t="s">
        <v>48</v>
      </c>
      <c r="C328" s="1">
        <v>3.59</v>
      </c>
      <c r="D328" s="1">
        <v>2020</v>
      </c>
      <c r="E328" s="1">
        <f t="shared" ca="1" si="5"/>
        <v>2.887678508791236E-3</v>
      </c>
      <c r="F328" s="2">
        <v>68000</v>
      </c>
      <c r="G328" s="2">
        <f t="shared" si="6"/>
        <v>244120000</v>
      </c>
      <c r="H328" s="4">
        <v>31</v>
      </c>
      <c r="I328" s="1">
        <v>18000</v>
      </c>
      <c r="J328" s="2">
        <f t="shared" si="7"/>
        <v>111.28999999999999</v>
      </c>
      <c r="K328" s="2">
        <f t="shared" si="8"/>
        <v>2003219.9999999998</v>
      </c>
      <c r="L328" s="2">
        <f t="shared" si="9"/>
        <v>242116780</v>
      </c>
    </row>
    <row r="329" spans="1:12" ht="15.75" customHeight="1" x14ac:dyDescent="0.3">
      <c r="A329" s="1" t="s">
        <v>13</v>
      </c>
      <c r="B329" s="1" t="s">
        <v>31</v>
      </c>
      <c r="C329" s="1">
        <v>3965.52</v>
      </c>
      <c r="D329" s="1">
        <v>2022</v>
      </c>
      <c r="E329" s="1">
        <f t="shared" ca="1" si="5"/>
        <v>0.76756694872310238</v>
      </c>
      <c r="F329" s="2">
        <v>50000</v>
      </c>
      <c r="G329" s="2">
        <f t="shared" si="6"/>
        <v>198276000000</v>
      </c>
      <c r="H329" s="4">
        <v>29</v>
      </c>
      <c r="I329" s="1">
        <v>9800</v>
      </c>
      <c r="J329" s="2">
        <f t="shared" si="7"/>
        <v>115000.08</v>
      </c>
      <c r="K329" s="2">
        <f t="shared" si="8"/>
        <v>1127000784</v>
      </c>
      <c r="L329" s="2">
        <f t="shared" si="9"/>
        <v>197148999216</v>
      </c>
    </row>
    <row r="330" spans="1:12" ht="15.75" customHeight="1" x14ac:dyDescent="0.3">
      <c r="A330" s="1" t="s">
        <v>20</v>
      </c>
      <c r="B330" s="1" t="s">
        <v>48</v>
      </c>
      <c r="C330" s="1">
        <v>6687.13</v>
      </c>
      <c r="D330" s="1">
        <v>2020</v>
      </c>
      <c r="E330" s="1">
        <f t="shared" ca="1" si="5"/>
        <v>0.46819343684687642</v>
      </c>
      <c r="F330" s="2">
        <v>150000</v>
      </c>
      <c r="G330" s="2">
        <f t="shared" si="6"/>
        <v>1003069500000</v>
      </c>
      <c r="H330" s="4">
        <v>38</v>
      </c>
      <c r="I330" s="1">
        <v>17800</v>
      </c>
      <c r="J330" s="2">
        <f t="shared" si="7"/>
        <v>254110.94</v>
      </c>
      <c r="K330" s="2">
        <f t="shared" si="8"/>
        <v>4523174732</v>
      </c>
      <c r="L330" s="2">
        <f t="shared" si="9"/>
        <v>998546325268</v>
      </c>
    </row>
    <row r="331" spans="1:12" ht="15.75" customHeight="1" x14ac:dyDescent="0.3">
      <c r="A331" s="1" t="s">
        <v>20</v>
      </c>
      <c r="B331" s="1" t="s">
        <v>25</v>
      </c>
      <c r="C331" s="1">
        <v>3720.99</v>
      </c>
      <c r="D331" s="1">
        <v>2020</v>
      </c>
      <c r="E331" s="1">
        <f t="shared" ca="1" si="5"/>
        <v>0.64060168856101951</v>
      </c>
      <c r="F331" s="2">
        <v>150000</v>
      </c>
      <c r="G331" s="2">
        <f t="shared" si="6"/>
        <v>558148500000</v>
      </c>
      <c r="H331" s="4">
        <v>38</v>
      </c>
      <c r="I331" s="1">
        <v>17800</v>
      </c>
      <c r="J331" s="2">
        <f t="shared" si="7"/>
        <v>141397.62</v>
      </c>
      <c r="K331" s="2">
        <f t="shared" si="8"/>
        <v>2516877636</v>
      </c>
      <c r="L331" s="2">
        <f t="shared" si="9"/>
        <v>555631622364</v>
      </c>
    </row>
    <row r="332" spans="1:12" ht="15.75" customHeight="1" x14ac:dyDescent="0.3">
      <c r="A332" s="1" t="s">
        <v>13</v>
      </c>
      <c r="B332" s="1" t="s">
        <v>38</v>
      </c>
      <c r="C332" s="1">
        <v>1657.97</v>
      </c>
      <c r="D332" s="1">
        <v>2020</v>
      </c>
      <c r="E332" s="1">
        <f t="shared" ca="1" si="5"/>
        <v>0.60264838924073993</v>
      </c>
      <c r="F332" s="2">
        <v>50000</v>
      </c>
      <c r="G332" s="2">
        <f t="shared" si="6"/>
        <v>82898500000</v>
      </c>
      <c r="H332" s="4">
        <v>27</v>
      </c>
      <c r="I332" s="1">
        <v>9800</v>
      </c>
      <c r="J332" s="2">
        <f t="shared" si="7"/>
        <v>44765.19</v>
      </c>
      <c r="K332" s="2">
        <f t="shared" si="8"/>
        <v>438698862</v>
      </c>
      <c r="L332" s="2">
        <f t="shared" si="9"/>
        <v>82459801138</v>
      </c>
    </row>
    <row r="333" spans="1:12" ht="15.75" customHeight="1" x14ac:dyDescent="0.3">
      <c r="A333" s="1" t="s">
        <v>24</v>
      </c>
      <c r="B333" s="1" t="s">
        <v>27</v>
      </c>
      <c r="C333" s="1">
        <v>10.78</v>
      </c>
      <c r="D333" s="1">
        <v>2022</v>
      </c>
      <c r="E333" s="1">
        <f t="shared" ca="1" si="5"/>
        <v>0.76683137729016093</v>
      </c>
      <c r="F333" s="2">
        <v>68000</v>
      </c>
      <c r="G333" s="2">
        <f t="shared" si="6"/>
        <v>733040000</v>
      </c>
      <c r="H333" s="4">
        <v>28</v>
      </c>
      <c r="I333" s="1">
        <v>18000</v>
      </c>
      <c r="J333" s="2">
        <f t="shared" si="7"/>
        <v>301.83999999999997</v>
      </c>
      <c r="K333" s="2">
        <f t="shared" si="8"/>
        <v>5433120</v>
      </c>
      <c r="L333" s="2">
        <f t="shared" si="9"/>
        <v>727606880</v>
      </c>
    </row>
    <row r="334" spans="1:12" ht="15.75" customHeight="1" x14ac:dyDescent="0.3">
      <c r="A334" s="1" t="s">
        <v>13</v>
      </c>
      <c r="B334" s="1" t="s">
        <v>23</v>
      </c>
      <c r="C334" s="1">
        <v>67068.039999999994</v>
      </c>
      <c r="D334" s="1">
        <v>2022</v>
      </c>
      <c r="E334" s="1">
        <f t="shared" ca="1" si="5"/>
        <v>0.69297656321169609</v>
      </c>
      <c r="F334" s="2">
        <v>50000</v>
      </c>
      <c r="G334" s="2">
        <f t="shared" si="6"/>
        <v>3353401999999.9995</v>
      </c>
      <c r="H334" s="4">
        <v>29</v>
      </c>
      <c r="I334" s="1">
        <v>9800</v>
      </c>
      <c r="J334" s="2">
        <f t="shared" si="7"/>
        <v>1944973.16</v>
      </c>
      <c r="K334" s="2">
        <f t="shared" si="8"/>
        <v>19060736968</v>
      </c>
      <c r="L334" s="2">
        <f t="shared" si="9"/>
        <v>3334341263031.9995</v>
      </c>
    </row>
    <row r="335" spans="1:12" ht="15.75" customHeight="1" x14ac:dyDescent="0.3">
      <c r="A335" s="1" t="s">
        <v>17</v>
      </c>
      <c r="B335" s="1" t="s">
        <v>26</v>
      </c>
      <c r="C335" s="1">
        <v>927.47</v>
      </c>
      <c r="D335" s="1">
        <v>2022</v>
      </c>
      <c r="E335" s="1">
        <f t="shared" ca="1" si="5"/>
        <v>0.27009211392900967</v>
      </c>
      <c r="F335" s="2">
        <v>130000</v>
      </c>
      <c r="G335" s="2">
        <f t="shared" si="6"/>
        <v>120571100000</v>
      </c>
      <c r="H335" s="4">
        <v>37</v>
      </c>
      <c r="I335" s="1">
        <v>17000</v>
      </c>
      <c r="J335" s="2">
        <f t="shared" si="7"/>
        <v>34316.39</v>
      </c>
      <c r="K335" s="2">
        <f t="shared" si="8"/>
        <v>583378630</v>
      </c>
      <c r="L335" s="2">
        <f t="shared" si="9"/>
        <v>119987721370</v>
      </c>
    </row>
    <row r="336" spans="1:12" ht="15.75" customHeight="1" x14ac:dyDescent="0.3">
      <c r="A336" s="1" t="s">
        <v>17</v>
      </c>
      <c r="B336" s="1" t="s">
        <v>46</v>
      </c>
      <c r="C336" s="1">
        <v>364.12</v>
      </c>
      <c r="D336" s="1">
        <v>2021</v>
      </c>
      <c r="E336" s="1">
        <f t="shared" ca="1" si="5"/>
        <v>0.29493434121111195</v>
      </c>
      <c r="F336" s="2">
        <v>130000</v>
      </c>
      <c r="G336" s="2">
        <f t="shared" si="6"/>
        <v>47335600000</v>
      </c>
      <c r="H336" s="4">
        <v>32</v>
      </c>
      <c r="I336" s="1">
        <v>17000</v>
      </c>
      <c r="J336" s="2">
        <f t="shared" si="7"/>
        <v>11651.84</v>
      </c>
      <c r="K336" s="2">
        <f t="shared" si="8"/>
        <v>198081280</v>
      </c>
      <c r="L336" s="2">
        <f t="shared" si="9"/>
        <v>47137518720</v>
      </c>
    </row>
    <row r="337" spans="1:12" ht="15.75" customHeight="1" x14ac:dyDescent="0.3">
      <c r="A337" s="1" t="s">
        <v>24</v>
      </c>
      <c r="B337" s="1" t="s">
        <v>43</v>
      </c>
      <c r="C337" s="1">
        <v>242.94</v>
      </c>
      <c r="D337" s="1">
        <v>2021</v>
      </c>
      <c r="E337" s="1">
        <f t="shared" ca="1" si="5"/>
        <v>0.49910980459411625</v>
      </c>
      <c r="F337" s="2">
        <v>68000</v>
      </c>
      <c r="G337" s="2">
        <f t="shared" si="6"/>
        <v>16519920000</v>
      </c>
      <c r="H337" s="4">
        <v>33</v>
      </c>
      <c r="I337" s="1">
        <v>18000</v>
      </c>
      <c r="J337" s="2">
        <f t="shared" si="7"/>
        <v>8017.0199999999995</v>
      </c>
      <c r="K337" s="2">
        <f t="shared" si="8"/>
        <v>144306360</v>
      </c>
      <c r="L337" s="2">
        <f t="shared" si="9"/>
        <v>16375613640</v>
      </c>
    </row>
    <row r="338" spans="1:12" ht="15.75" customHeight="1" x14ac:dyDescent="0.3">
      <c r="A338" s="1" t="s">
        <v>20</v>
      </c>
      <c r="B338" s="1" t="s">
        <v>48</v>
      </c>
      <c r="C338" s="1">
        <v>7351.35</v>
      </c>
      <c r="D338" s="1">
        <v>2022</v>
      </c>
      <c r="E338" s="1">
        <f t="shared" ca="1" si="5"/>
        <v>0.37770976076606078</v>
      </c>
      <c r="F338" s="2">
        <v>150000</v>
      </c>
      <c r="G338" s="2">
        <f t="shared" si="6"/>
        <v>1102702500000</v>
      </c>
      <c r="H338" s="4">
        <v>40</v>
      </c>
      <c r="I338" s="1">
        <v>17800</v>
      </c>
      <c r="J338" s="2">
        <f t="shared" si="7"/>
        <v>294054</v>
      </c>
      <c r="K338" s="2">
        <f t="shared" si="8"/>
        <v>5234161200</v>
      </c>
      <c r="L338" s="2">
        <f t="shared" si="9"/>
        <v>1097468338800</v>
      </c>
    </row>
    <row r="339" spans="1:12" ht="15.75" customHeight="1" x14ac:dyDescent="0.3">
      <c r="A339" s="1" t="s">
        <v>13</v>
      </c>
      <c r="B339" s="1" t="s">
        <v>47</v>
      </c>
      <c r="C339" s="1">
        <v>8901.3700000000008</v>
      </c>
      <c r="D339" s="1">
        <v>2021</v>
      </c>
      <c r="E339" s="1">
        <f t="shared" ca="1" si="5"/>
        <v>0.73303123223114441</v>
      </c>
      <c r="F339" s="2">
        <v>50000</v>
      </c>
      <c r="G339" s="2">
        <f t="shared" si="6"/>
        <v>445068500000</v>
      </c>
      <c r="H339" s="4">
        <v>26</v>
      </c>
      <c r="I339" s="1">
        <v>9800</v>
      </c>
      <c r="J339" s="2">
        <f t="shared" si="7"/>
        <v>231435.62000000002</v>
      </c>
      <c r="K339" s="2">
        <f t="shared" si="8"/>
        <v>2268069076.0000005</v>
      </c>
      <c r="L339" s="2">
        <f t="shared" si="9"/>
        <v>442800430924</v>
      </c>
    </row>
    <row r="340" spans="1:12" ht="15.75" customHeight="1" x14ac:dyDescent="0.3">
      <c r="A340" s="1" t="s">
        <v>20</v>
      </c>
      <c r="B340" s="1" t="s">
        <v>26</v>
      </c>
      <c r="C340" s="1">
        <v>12986.16</v>
      </c>
      <c r="D340" s="1">
        <v>2020</v>
      </c>
      <c r="E340" s="1">
        <f t="shared" ca="1" si="5"/>
        <v>0.34135630680144025</v>
      </c>
      <c r="F340" s="2">
        <v>150000</v>
      </c>
      <c r="G340" s="2">
        <f t="shared" si="6"/>
        <v>1947924000000</v>
      </c>
      <c r="H340" s="4">
        <v>38</v>
      </c>
      <c r="I340" s="1">
        <v>17800</v>
      </c>
      <c r="J340" s="2">
        <f t="shared" si="7"/>
        <v>493474.08</v>
      </c>
      <c r="K340" s="2">
        <f t="shared" si="8"/>
        <v>8783838624</v>
      </c>
      <c r="L340" s="2">
        <f t="shared" si="9"/>
        <v>1939140161376</v>
      </c>
    </row>
    <row r="341" spans="1:12" ht="15.75" customHeight="1" x14ac:dyDescent="0.3">
      <c r="A341" s="1" t="s">
        <v>24</v>
      </c>
      <c r="B341" s="1" t="s">
        <v>35</v>
      </c>
      <c r="C341" s="1">
        <v>38.57</v>
      </c>
      <c r="D341" s="1">
        <v>2021</v>
      </c>
      <c r="E341" s="1">
        <f t="shared" ca="1" si="5"/>
        <v>0.31066439890406605</v>
      </c>
      <c r="F341" s="2">
        <v>68000</v>
      </c>
      <c r="G341" s="2">
        <f t="shared" si="6"/>
        <v>2622760000</v>
      </c>
      <c r="H341" s="4">
        <v>33</v>
      </c>
      <c r="I341" s="1">
        <v>18000</v>
      </c>
      <c r="J341" s="2">
        <f t="shared" si="7"/>
        <v>1272.81</v>
      </c>
      <c r="K341" s="2">
        <f t="shared" si="8"/>
        <v>22910580</v>
      </c>
      <c r="L341" s="2">
        <f t="shared" si="9"/>
        <v>2599849420</v>
      </c>
    </row>
    <row r="342" spans="1:12" ht="15.75" customHeight="1" x14ac:dyDescent="0.3">
      <c r="A342" s="1" t="s">
        <v>17</v>
      </c>
      <c r="B342" s="1" t="s">
        <v>22</v>
      </c>
      <c r="C342" s="1">
        <v>35.86</v>
      </c>
      <c r="D342" s="1">
        <v>2022</v>
      </c>
      <c r="E342" s="1">
        <f t="shared" ca="1" si="5"/>
        <v>0.20746307000786512</v>
      </c>
      <c r="F342" s="2">
        <v>130000</v>
      </c>
      <c r="G342" s="2">
        <f t="shared" si="6"/>
        <v>4661800000</v>
      </c>
      <c r="H342" s="4">
        <v>37</v>
      </c>
      <c r="I342" s="1">
        <v>17000</v>
      </c>
      <c r="J342" s="2">
        <f t="shared" si="7"/>
        <v>1326.82</v>
      </c>
      <c r="K342" s="2">
        <f t="shared" si="8"/>
        <v>22555940</v>
      </c>
      <c r="L342" s="2">
        <f t="shared" si="9"/>
        <v>4639244060</v>
      </c>
    </row>
    <row r="343" spans="1:12" ht="15.75" customHeight="1" x14ac:dyDescent="0.3">
      <c r="A343" s="1" t="s">
        <v>24</v>
      </c>
      <c r="B343" s="1" t="s">
        <v>23</v>
      </c>
      <c r="C343" s="1">
        <v>31866.240000000002</v>
      </c>
      <c r="D343" s="1">
        <v>2021</v>
      </c>
      <c r="E343" s="1">
        <f t="shared" ca="1" si="5"/>
        <v>0.92588308482707959</v>
      </c>
      <c r="F343" s="2">
        <v>68000</v>
      </c>
      <c r="G343" s="2">
        <f t="shared" si="6"/>
        <v>2166904320000</v>
      </c>
      <c r="H343" s="4">
        <v>33</v>
      </c>
      <c r="I343" s="1">
        <v>18000</v>
      </c>
      <c r="J343" s="2">
        <f t="shared" si="7"/>
        <v>1051585.9200000002</v>
      </c>
      <c r="K343" s="2">
        <f t="shared" si="8"/>
        <v>18928546560.000004</v>
      </c>
      <c r="L343" s="2">
        <f t="shared" si="9"/>
        <v>2147975773440</v>
      </c>
    </row>
    <row r="344" spans="1:12" ht="15.75" customHeight="1" x14ac:dyDescent="0.3">
      <c r="A344" s="1" t="s">
        <v>15</v>
      </c>
      <c r="B344" s="1" t="s">
        <v>19</v>
      </c>
      <c r="C344" s="1">
        <v>180414.43</v>
      </c>
      <c r="D344" s="1">
        <v>2020</v>
      </c>
      <c r="E344" s="1">
        <f t="shared" ca="1" si="5"/>
        <v>0.40657283765187324</v>
      </c>
      <c r="F344" s="2">
        <v>34000</v>
      </c>
      <c r="G344" s="2">
        <f t="shared" si="6"/>
        <v>6134090620000</v>
      </c>
      <c r="H344" s="4">
        <v>25</v>
      </c>
      <c r="I344" s="1">
        <v>9000</v>
      </c>
      <c r="J344" s="2">
        <f t="shared" si="7"/>
        <v>4510360.75</v>
      </c>
      <c r="K344" s="2">
        <f t="shared" si="8"/>
        <v>40593246750</v>
      </c>
      <c r="L344" s="2">
        <f t="shared" si="9"/>
        <v>6093497373250</v>
      </c>
    </row>
    <row r="345" spans="1:12" ht="15.75" customHeight="1" x14ac:dyDescent="0.3">
      <c r="A345" s="1" t="s">
        <v>15</v>
      </c>
      <c r="B345" s="1" t="s">
        <v>47</v>
      </c>
      <c r="C345" s="1">
        <v>17528.05</v>
      </c>
      <c r="D345" s="1">
        <v>2021</v>
      </c>
      <c r="E345" s="1">
        <f t="shared" ca="1" si="5"/>
        <v>0.13684358027214338</v>
      </c>
      <c r="F345" s="2">
        <v>34000</v>
      </c>
      <c r="G345" s="2">
        <f t="shared" si="6"/>
        <v>595953700000</v>
      </c>
      <c r="H345" s="4">
        <v>21</v>
      </c>
      <c r="I345" s="1">
        <v>9000</v>
      </c>
      <c r="J345" s="2">
        <f t="shared" si="7"/>
        <v>368089.05</v>
      </c>
      <c r="K345" s="2">
        <f t="shared" si="8"/>
        <v>3312801450</v>
      </c>
      <c r="L345" s="2">
        <f t="shared" si="9"/>
        <v>592640898550</v>
      </c>
    </row>
    <row r="346" spans="1:12" ht="15.75" customHeight="1" x14ac:dyDescent="0.3">
      <c r="A346" s="1" t="s">
        <v>17</v>
      </c>
      <c r="B346" s="1" t="s">
        <v>33</v>
      </c>
      <c r="C346" s="1">
        <v>105.31</v>
      </c>
      <c r="D346" s="1">
        <v>2020</v>
      </c>
      <c r="E346" s="1">
        <f t="shared" ca="1" si="5"/>
        <v>0.95674069221856894</v>
      </c>
      <c r="F346" s="2">
        <v>130000</v>
      </c>
      <c r="G346" s="2">
        <f t="shared" si="6"/>
        <v>13690300000</v>
      </c>
      <c r="H346" s="4">
        <v>35</v>
      </c>
      <c r="I346" s="1">
        <v>17000</v>
      </c>
      <c r="J346" s="2">
        <f t="shared" si="7"/>
        <v>3685.85</v>
      </c>
      <c r="K346" s="2">
        <f t="shared" si="8"/>
        <v>62659450</v>
      </c>
      <c r="L346" s="2">
        <f t="shared" si="9"/>
        <v>13627640550</v>
      </c>
    </row>
    <row r="347" spans="1:12" ht="15.75" customHeight="1" x14ac:dyDescent="0.3">
      <c r="A347" s="1" t="s">
        <v>13</v>
      </c>
      <c r="B347" s="1" t="s">
        <v>45</v>
      </c>
      <c r="C347" s="1">
        <v>1447.59</v>
      </c>
      <c r="D347" s="1">
        <v>2022</v>
      </c>
      <c r="E347" s="1">
        <f t="shared" ca="1" si="5"/>
        <v>0.32986035129236846</v>
      </c>
      <c r="F347" s="2">
        <v>50000</v>
      </c>
      <c r="G347" s="2">
        <f t="shared" si="6"/>
        <v>72379500000</v>
      </c>
      <c r="H347" s="4">
        <v>29</v>
      </c>
      <c r="I347" s="1">
        <v>9800</v>
      </c>
      <c r="J347" s="2">
        <f t="shared" si="7"/>
        <v>41980.11</v>
      </c>
      <c r="K347" s="2">
        <f t="shared" si="8"/>
        <v>411405078</v>
      </c>
      <c r="L347" s="2">
        <f t="shared" si="9"/>
        <v>71968094922</v>
      </c>
    </row>
    <row r="348" spans="1:12" ht="15.75" customHeight="1" x14ac:dyDescent="0.3">
      <c r="A348" s="1" t="s">
        <v>24</v>
      </c>
      <c r="B348" s="1" t="s">
        <v>44</v>
      </c>
      <c r="C348" s="1">
        <v>0</v>
      </c>
      <c r="D348" s="1">
        <v>2020</v>
      </c>
      <c r="E348" s="1">
        <f t="shared" ca="1" si="5"/>
        <v>0.41370656661519811</v>
      </c>
      <c r="F348" s="2">
        <v>68000</v>
      </c>
      <c r="G348" s="2">
        <f t="shared" si="6"/>
        <v>0</v>
      </c>
      <c r="H348" s="4">
        <v>31</v>
      </c>
      <c r="I348" s="1">
        <v>18000</v>
      </c>
      <c r="J348" s="2">
        <f t="shared" si="7"/>
        <v>0</v>
      </c>
      <c r="K348" s="2">
        <f t="shared" si="8"/>
        <v>0</v>
      </c>
      <c r="L348" s="2">
        <f t="shared" si="9"/>
        <v>0</v>
      </c>
    </row>
    <row r="349" spans="1:12" ht="15.75" customHeight="1" x14ac:dyDescent="0.3">
      <c r="A349" s="1" t="s">
        <v>17</v>
      </c>
      <c r="B349" s="1" t="s">
        <v>34</v>
      </c>
      <c r="C349" s="1">
        <v>402.63</v>
      </c>
      <c r="D349" s="1">
        <v>2021</v>
      </c>
      <c r="E349" s="1">
        <f t="shared" ca="1" si="5"/>
        <v>0.25365443678385102</v>
      </c>
      <c r="F349" s="2">
        <v>130000</v>
      </c>
      <c r="G349" s="2">
        <f t="shared" si="6"/>
        <v>52341900000</v>
      </c>
      <c r="H349" s="4">
        <v>32</v>
      </c>
      <c r="I349" s="1">
        <v>17000</v>
      </c>
      <c r="J349" s="2">
        <f t="shared" si="7"/>
        <v>12884.16</v>
      </c>
      <c r="K349" s="2">
        <f t="shared" si="8"/>
        <v>219030720</v>
      </c>
      <c r="L349" s="2">
        <f t="shared" si="9"/>
        <v>52122869280</v>
      </c>
    </row>
    <row r="350" spans="1:12" ht="15.75" customHeight="1" x14ac:dyDescent="0.3">
      <c r="A350" s="1" t="s">
        <v>17</v>
      </c>
      <c r="B350" s="1" t="s">
        <v>50</v>
      </c>
      <c r="C350" s="1">
        <v>4270.07</v>
      </c>
      <c r="D350" s="1">
        <v>2021</v>
      </c>
      <c r="E350" s="1">
        <f t="shared" ca="1" si="5"/>
        <v>0.63382713761590392</v>
      </c>
      <c r="F350" s="2">
        <v>130000</v>
      </c>
      <c r="G350" s="2">
        <f t="shared" si="6"/>
        <v>555109100000</v>
      </c>
      <c r="H350" s="4">
        <v>32</v>
      </c>
      <c r="I350" s="1">
        <v>17000</v>
      </c>
      <c r="J350" s="2">
        <f t="shared" si="7"/>
        <v>136642.23999999999</v>
      </c>
      <c r="K350" s="2">
        <f t="shared" si="8"/>
        <v>2322918080</v>
      </c>
      <c r="L350" s="2">
        <f t="shared" si="9"/>
        <v>552786181920</v>
      </c>
    </row>
    <row r="351" spans="1:12" ht="15.75" customHeight="1" x14ac:dyDescent="0.3">
      <c r="A351" s="1" t="s">
        <v>24</v>
      </c>
      <c r="B351" s="1" t="s">
        <v>19</v>
      </c>
      <c r="C351" s="1">
        <v>0</v>
      </c>
      <c r="D351" s="1">
        <v>2021</v>
      </c>
      <c r="E351" s="1">
        <f t="shared" ca="1" si="5"/>
        <v>0.6720212785614994</v>
      </c>
      <c r="F351" s="2">
        <v>68000</v>
      </c>
      <c r="G351" s="2">
        <f t="shared" si="6"/>
        <v>0</v>
      </c>
      <c r="H351" s="4">
        <v>33</v>
      </c>
      <c r="I351" s="1">
        <v>18000</v>
      </c>
      <c r="J351" s="2">
        <f t="shared" si="7"/>
        <v>0</v>
      </c>
      <c r="K351" s="2">
        <f t="shared" si="8"/>
        <v>0</v>
      </c>
      <c r="L351" s="2">
        <f t="shared" si="9"/>
        <v>0</v>
      </c>
    </row>
    <row r="352" spans="1:12" ht="15.75" customHeight="1" x14ac:dyDescent="0.3">
      <c r="A352" s="1" t="s">
        <v>20</v>
      </c>
      <c r="B352" s="1" t="s">
        <v>23</v>
      </c>
      <c r="C352" s="1">
        <v>84960.62</v>
      </c>
      <c r="D352" s="1">
        <v>2022</v>
      </c>
      <c r="E352" s="1">
        <f t="shared" ca="1" si="5"/>
        <v>0.69373557308431777</v>
      </c>
      <c r="F352" s="2">
        <v>150000</v>
      </c>
      <c r="G352" s="2">
        <f t="shared" si="6"/>
        <v>12744093000000</v>
      </c>
      <c r="H352" s="4">
        <v>40</v>
      </c>
      <c r="I352" s="1">
        <v>17800</v>
      </c>
      <c r="J352" s="2">
        <f t="shared" si="7"/>
        <v>3398424.8</v>
      </c>
      <c r="K352" s="2">
        <f t="shared" si="8"/>
        <v>60491961440</v>
      </c>
      <c r="L352" s="2">
        <f t="shared" si="9"/>
        <v>12683601038560</v>
      </c>
    </row>
    <row r="353" spans="1:12" ht="15.75" customHeight="1" x14ac:dyDescent="0.3">
      <c r="A353" s="1" t="s">
        <v>15</v>
      </c>
      <c r="B353" s="1" t="s">
        <v>22</v>
      </c>
      <c r="C353" s="1">
        <v>9648.27</v>
      </c>
      <c r="D353" s="1">
        <v>2022</v>
      </c>
      <c r="E353" s="1">
        <f t="shared" ca="1" si="5"/>
        <v>0.27232660989586022</v>
      </c>
      <c r="F353" s="2">
        <v>34000</v>
      </c>
      <c r="G353" s="2">
        <f t="shared" si="6"/>
        <v>328041180000</v>
      </c>
      <c r="H353" s="4">
        <v>20</v>
      </c>
      <c r="I353" s="1">
        <v>9000</v>
      </c>
      <c r="J353" s="2">
        <f t="shared" si="7"/>
        <v>192965.40000000002</v>
      </c>
      <c r="K353" s="2">
        <f t="shared" si="8"/>
        <v>1736688600.0000002</v>
      </c>
      <c r="L353" s="2">
        <f t="shared" si="9"/>
        <v>326304491400</v>
      </c>
    </row>
    <row r="354" spans="1:12" ht="15.75" customHeight="1" x14ac:dyDescent="0.3">
      <c r="A354" s="1" t="s">
        <v>13</v>
      </c>
      <c r="B354" s="1" t="s">
        <v>21</v>
      </c>
      <c r="C354" s="1">
        <v>39655.15</v>
      </c>
      <c r="D354" s="1">
        <v>2020</v>
      </c>
      <c r="E354" s="1">
        <f t="shared" ca="1" si="5"/>
        <v>6.8499886851064562E-2</v>
      </c>
      <c r="F354" s="2">
        <v>50000</v>
      </c>
      <c r="G354" s="2">
        <f t="shared" si="6"/>
        <v>1982757500000</v>
      </c>
      <c r="H354" s="4">
        <v>27</v>
      </c>
      <c r="I354" s="1">
        <v>9800</v>
      </c>
      <c r="J354" s="2">
        <f t="shared" si="7"/>
        <v>1070689.05</v>
      </c>
      <c r="K354" s="2">
        <f t="shared" si="8"/>
        <v>10492752690</v>
      </c>
      <c r="L354" s="2">
        <f t="shared" si="9"/>
        <v>1972264747310</v>
      </c>
    </row>
    <row r="355" spans="1:12" ht="15.75" customHeight="1" x14ac:dyDescent="0.3">
      <c r="A355" s="1" t="s">
        <v>20</v>
      </c>
      <c r="B355" s="1" t="s">
        <v>37</v>
      </c>
      <c r="C355" s="1">
        <v>2616.77</v>
      </c>
      <c r="D355" s="1">
        <v>2022</v>
      </c>
      <c r="E355" s="1">
        <f t="shared" ca="1" si="5"/>
        <v>0.11769015762441037</v>
      </c>
      <c r="F355" s="2">
        <v>150000</v>
      </c>
      <c r="G355" s="2">
        <f t="shared" si="6"/>
        <v>392515500000</v>
      </c>
      <c r="H355" s="4">
        <v>40</v>
      </c>
      <c r="I355" s="1">
        <v>17800</v>
      </c>
      <c r="J355" s="2">
        <f t="shared" si="7"/>
        <v>104670.8</v>
      </c>
      <c r="K355" s="2">
        <f t="shared" si="8"/>
        <v>1863140240</v>
      </c>
      <c r="L355" s="2">
        <f t="shared" si="9"/>
        <v>390652359760</v>
      </c>
    </row>
    <row r="356" spans="1:12" ht="15.75" customHeight="1" x14ac:dyDescent="0.3">
      <c r="A356" s="1" t="s">
        <v>17</v>
      </c>
      <c r="B356" s="1" t="s">
        <v>45</v>
      </c>
      <c r="C356" s="1">
        <v>160.44999999999999</v>
      </c>
      <c r="D356" s="1">
        <v>2020</v>
      </c>
      <c r="E356" s="1">
        <f t="shared" ca="1" si="5"/>
        <v>0.26513228900749863</v>
      </c>
      <c r="F356" s="2">
        <v>130000</v>
      </c>
      <c r="G356" s="2">
        <f t="shared" si="6"/>
        <v>20858500000</v>
      </c>
      <c r="H356" s="4">
        <v>35</v>
      </c>
      <c r="I356" s="1">
        <v>17000</v>
      </c>
      <c r="J356" s="2">
        <f t="shared" si="7"/>
        <v>5615.75</v>
      </c>
      <c r="K356" s="2">
        <f t="shared" si="8"/>
        <v>95467750</v>
      </c>
      <c r="L356" s="2">
        <f t="shared" si="9"/>
        <v>20763032250</v>
      </c>
    </row>
    <row r="357" spans="1:12" ht="15.75" customHeight="1" x14ac:dyDescent="0.3">
      <c r="A357" s="1" t="s">
        <v>24</v>
      </c>
      <c r="B357" s="1" t="s">
        <v>43</v>
      </c>
      <c r="C357" s="1">
        <v>145.04</v>
      </c>
      <c r="D357" s="1">
        <v>2020</v>
      </c>
      <c r="E357" s="1">
        <f t="shared" ca="1" si="5"/>
        <v>0.17316605428918952</v>
      </c>
      <c r="F357" s="2">
        <v>68000</v>
      </c>
      <c r="G357" s="2">
        <f t="shared" si="6"/>
        <v>9862720000</v>
      </c>
      <c r="H357" s="4">
        <v>31</v>
      </c>
      <c r="I357" s="1">
        <v>18000</v>
      </c>
      <c r="J357" s="2">
        <f t="shared" si="7"/>
        <v>4496.24</v>
      </c>
      <c r="K357" s="2">
        <f t="shared" si="8"/>
        <v>80932320</v>
      </c>
      <c r="L357" s="2">
        <f t="shared" si="9"/>
        <v>9781787680</v>
      </c>
    </row>
    <row r="358" spans="1:12" ht="15.75" customHeight="1" x14ac:dyDescent="0.3">
      <c r="A358" s="1" t="s">
        <v>13</v>
      </c>
      <c r="B358" s="1" t="s">
        <v>28</v>
      </c>
      <c r="C358" s="1">
        <v>930.84</v>
      </c>
      <c r="D358" s="1">
        <v>2020</v>
      </c>
      <c r="E358" s="1">
        <f t="shared" ca="1" si="5"/>
        <v>0.26101527066503605</v>
      </c>
      <c r="F358" s="2">
        <v>50000</v>
      </c>
      <c r="G358" s="2">
        <f t="shared" si="6"/>
        <v>46542000000</v>
      </c>
      <c r="H358" s="4">
        <v>27</v>
      </c>
      <c r="I358" s="1">
        <v>9800</v>
      </c>
      <c r="J358" s="2">
        <f t="shared" si="7"/>
        <v>25132.68</v>
      </c>
      <c r="K358" s="2">
        <f t="shared" si="8"/>
        <v>246300264</v>
      </c>
      <c r="L358" s="2">
        <f t="shared" si="9"/>
        <v>46295699736</v>
      </c>
    </row>
    <row r="359" spans="1:12" ht="15.75" customHeight="1" x14ac:dyDescent="0.3">
      <c r="A359" s="1" t="s">
        <v>24</v>
      </c>
      <c r="B359" s="1" t="s">
        <v>37</v>
      </c>
      <c r="C359" s="1">
        <v>0</v>
      </c>
      <c r="D359" s="1">
        <v>2022</v>
      </c>
      <c r="E359" s="1">
        <f t="shared" ca="1" si="5"/>
        <v>0.12958062173172946</v>
      </c>
      <c r="F359" s="2">
        <v>68000</v>
      </c>
      <c r="G359" s="2">
        <f t="shared" si="6"/>
        <v>0</v>
      </c>
      <c r="H359" s="4">
        <v>28</v>
      </c>
      <c r="I359" s="1">
        <v>18000</v>
      </c>
      <c r="J359" s="2">
        <f t="shared" si="7"/>
        <v>0</v>
      </c>
      <c r="K359" s="2">
        <f t="shared" si="8"/>
        <v>0</v>
      </c>
      <c r="L359" s="2">
        <f t="shared" si="9"/>
        <v>0</v>
      </c>
    </row>
    <row r="360" spans="1:12" ht="15.75" customHeight="1" x14ac:dyDescent="0.3">
      <c r="A360" s="1" t="s">
        <v>24</v>
      </c>
      <c r="B360" s="1" t="s">
        <v>30</v>
      </c>
      <c r="C360" s="1">
        <v>36.14</v>
      </c>
      <c r="D360" s="1">
        <v>2020</v>
      </c>
      <c r="E360" s="1">
        <f t="shared" ca="1" si="5"/>
        <v>0.82419926788279096</v>
      </c>
      <c r="F360" s="2">
        <v>68000</v>
      </c>
      <c r="G360" s="2">
        <f t="shared" si="6"/>
        <v>2457520000</v>
      </c>
      <c r="H360" s="4">
        <v>31</v>
      </c>
      <c r="I360" s="1">
        <v>18000</v>
      </c>
      <c r="J360" s="2">
        <f t="shared" si="7"/>
        <v>1120.3399999999999</v>
      </c>
      <c r="K360" s="2">
        <f t="shared" si="8"/>
        <v>20166120</v>
      </c>
      <c r="L360" s="2">
        <f t="shared" si="9"/>
        <v>2437353880</v>
      </c>
    </row>
    <row r="361" spans="1:12" ht="15.75" customHeight="1" x14ac:dyDescent="0.3">
      <c r="A361" s="1" t="s">
        <v>15</v>
      </c>
      <c r="B361" s="1" t="s">
        <v>28</v>
      </c>
      <c r="C361" s="1">
        <v>159.63</v>
      </c>
      <c r="D361" s="1">
        <v>2020</v>
      </c>
      <c r="E361" s="1">
        <f t="shared" ca="1" si="5"/>
        <v>0.45382272061238904</v>
      </c>
      <c r="F361" s="2">
        <v>34000</v>
      </c>
      <c r="G361" s="2">
        <f t="shared" si="6"/>
        <v>5427420000</v>
      </c>
      <c r="H361" s="4">
        <v>25</v>
      </c>
      <c r="I361" s="1">
        <v>9000</v>
      </c>
      <c r="J361" s="2">
        <f t="shared" si="7"/>
        <v>3990.75</v>
      </c>
      <c r="K361" s="2">
        <f t="shared" si="8"/>
        <v>35916750</v>
      </c>
      <c r="L361" s="2">
        <f t="shared" si="9"/>
        <v>5391503250</v>
      </c>
    </row>
    <row r="362" spans="1:12" ht="15.75" customHeight="1" x14ac:dyDescent="0.3">
      <c r="A362" s="1" t="s">
        <v>24</v>
      </c>
      <c r="B362" s="1" t="s">
        <v>44</v>
      </c>
      <c r="C362" s="1">
        <v>0</v>
      </c>
      <c r="D362" s="1">
        <v>2021</v>
      </c>
      <c r="E362" s="1">
        <f t="shared" ca="1" si="5"/>
        <v>0.75467225593424236</v>
      </c>
      <c r="F362" s="2">
        <v>68000</v>
      </c>
      <c r="G362" s="2">
        <f t="shared" si="6"/>
        <v>0</v>
      </c>
      <c r="H362" s="4">
        <v>33</v>
      </c>
      <c r="I362" s="1">
        <v>18000</v>
      </c>
      <c r="J362" s="2">
        <f t="shared" si="7"/>
        <v>0</v>
      </c>
      <c r="K362" s="2">
        <f t="shared" si="8"/>
        <v>0</v>
      </c>
      <c r="L362" s="2">
        <f t="shared" si="9"/>
        <v>0</v>
      </c>
    </row>
    <row r="363" spans="1:12" ht="15.75" customHeight="1" x14ac:dyDescent="0.3">
      <c r="A363" s="1" t="s">
        <v>24</v>
      </c>
      <c r="B363" s="1" t="s">
        <v>22</v>
      </c>
      <c r="C363" s="1">
        <v>0</v>
      </c>
      <c r="D363" s="1">
        <v>2020</v>
      </c>
      <c r="E363" s="1">
        <f t="shared" ca="1" si="5"/>
        <v>0.51750752068112427</v>
      </c>
      <c r="F363" s="2">
        <v>68000</v>
      </c>
      <c r="G363" s="2">
        <f t="shared" si="6"/>
        <v>0</v>
      </c>
      <c r="H363" s="4">
        <v>31</v>
      </c>
      <c r="I363" s="1">
        <v>18000</v>
      </c>
      <c r="J363" s="2">
        <f t="shared" si="7"/>
        <v>0</v>
      </c>
      <c r="K363" s="2">
        <f t="shared" si="8"/>
        <v>0</v>
      </c>
      <c r="L363" s="2">
        <f t="shared" si="9"/>
        <v>0</v>
      </c>
    </row>
    <row r="364" spans="1:12" ht="15.75" customHeight="1" x14ac:dyDescent="0.3">
      <c r="A364" s="1" t="s">
        <v>17</v>
      </c>
      <c r="B364" s="1" t="s">
        <v>48</v>
      </c>
      <c r="C364" s="1">
        <v>333.96</v>
      </c>
      <c r="D364" s="1">
        <v>2022</v>
      </c>
      <c r="E364" s="1">
        <f t="shared" ca="1" si="5"/>
        <v>0.54636607515289359</v>
      </c>
      <c r="F364" s="2">
        <v>130000</v>
      </c>
      <c r="G364" s="2">
        <f t="shared" si="6"/>
        <v>43414800000</v>
      </c>
      <c r="H364" s="4">
        <v>37</v>
      </c>
      <c r="I364" s="1">
        <v>17000</v>
      </c>
      <c r="J364" s="2">
        <f t="shared" si="7"/>
        <v>12356.519999999999</v>
      </c>
      <c r="K364" s="2">
        <f t="shared" si="8"/>
        <v>210060839.99999997</v>
      </c>
      <c r="L364" s="2">
        <f t="shared" si="9"/>
        <v>43204739160</v>
      </c>
    </row>
    <row r="365" spans="1:12" ht="15.75" customHeight="1" x14ac:dyDescent="0.3">
      <c r="A365" s="1" t="s">
        <v>15</v>
      </c>
      <c r="B365" s="1" t="s">
        <v>49</v>
      </c>
      <c r="C365" s="1">
        <v>3824.54</v>
      </c>
      <c r="D365" s="1">
        <v>2020</v>
      </c>
      <c r="E365" s="1">
        <f t="shared" ca="1" si="5"/>
        <v>0.95625895140443617</v>
      </c>
      <c r="F365" s="2">
        <v>34000</v>
      </c>
      <c r="G365" s="2">
        <f t="shared" si="6"/>
        <v>130034360000</v>
      </c>
      <c r="H365" s="4">
        <v>25</v>
      </c>
      <c r="I365" s="1">
        <v>9000</v>
      </c>
      <c r="J365" s="2">
        <f t="shared" si="7"/>
        <v>95613.5</v>
      </c>
      <c r="K365" s="2">
        <f t="shared" si="8"/>
        <v>860521500</v>
      </c>
      <c r="L365" s="2">
        <f t="shared" si="9"/>
        <v>129173838500</v>
      </c>
    </row>
    <row r="366" spans="1:12" ht="15.75" customHeight="1" x14ac:dyDescent="0.3">
      <c r="A366" s="1" t="s">
        <v>17</v>
      </c>
      <c r="B366" s="1" t="s">
        <v>25</v>
      </c>
      <c r="C366" s="1">
        <v>200.88</v>
      </c>
      <c r="D366" s="1">
        <v>2022</v>
      </c>
      <c r="E366" s="1">
        <f t="shared" ca="1" si="5"/>
        <v>0.23600270119624212</v>
      </c>
      <c r="F366" s="2">
        <v>130000</v>
      </c>
      <c r="G366" s="2">
        <f t="shared" si="6"/>
        <v>26114400000</v>
      </c>
      <c r="H366" s="4">
        <v>37</v>
      </c>
      <c r="I366" s="1">
        <v>17000</v>
      </c>
      <c r="J366" s="2">
        <f t="shared" si="7"/>
        <v>7432.5599999999995</v>
      </c>
      <c r="K366" s="2">
        <f t="shared" si="8"/>
        <v>126353519.99999999</v>
      </c>
      <c r="L366" s="2">
        <f t="shared" si="9"/>
        <v>25988046480</v>
      </c>
    </row>
    <row r="367" spans="1:12" ht="15.75" customHeight="1" x14ac:dyDescent="0.3">
      <c r="A367" s="1" t="s">
        <v>17</v>
      </c>
      <c r="B367" s="1" t="s">
        <v>27</v>
      </c>
      <c r="C367" s="1">
        <v>178.86</v>
      </c>
      <c r="D367" s="1">
        <v>2022</v>
      </c>
      <c r="E367" s="1">
        <f t="shared" ca="1" si="5"/>
        <v>0.11058801813916119</v>
      </c>
      <c r="F367" s="2">
        <v>130000</v>
      </c>
      <c r="G367" s="2">
        <f t="shared" si="6"/>
        <v>23251800000</v>
      </c>
      <c r="H367" s="4">
        <v>37</v>
      </c>
      <c r="I367" s="1">
        <v>17000</v>
      </c>
      <c r="J367" s="2">
        <f t="shared" si="7"/>
        <v>6617.8200000000006</v>
      </c>
      <c r="K367" s="2">
        <f t="shared" si="8"/>
        <v>112502940.00000001</v>
      </c>
      <c r="L367" s="2">
        <f t="shared" si="9"/>
        <v>23139297060</v>
      </c>
    </row>
    <row r="368" spans="1:12" ht="15.75" customHeight="1" x14ac:dyDescent="0.3">
      <c r="A368" s="1" t="s">
        <v>15</v>
      </c>
      <c r="B368" s="1" t="s">
        <v>46</v>
      </c>
      <c r="C368" s="1">
        <v>53475.51</v>
      </c>
      <c r="D368" s="1">
        <v>2021</v>
      </c>
      <c r="E368" s="1">
        <f t="shared" ca="1" si="5"/>
        <v>0.14187175801122454</v>
      </c>
      <c r="F368" s="2">
        <v>34000</v>
      </c>
      <c r="G368" s="2">
        <f t="shared" si="6"/>
        <v>1818167340000</v>
      </c>
      <c r="H368" s="4">
        <v>21</v>
      </c>
      <c r="I368" s="1">
        <v>9000</v>
      </c>
      <c r="J368" s="2">
        <f t="shared" si="7"/>
        <v>1122985.71</v>
      </c>
      <c r="K368" s="2">
        <f t="shared" si="8"/>
        <v>10106871390</v>
      </c>
      <c r="L368" s="2">
        <f t="shared" si="9"/>
        <v>1808060468610</v>
      </c>
    </row>
    <row r="369" spans="1:12" ht="15.75" customHeight="1" x14ac:dyDescent="0.3">
      <c r="A369" s="1" t="s">
        <v>24</v>
      </c>
      <c r="B369" s="1" t="s">
        <v>32</v>
      </c>
      <c r="C369" s="1">
        <v>0</v>
      </c>
      <c r="D369" s="1">
        <v>2021</v>
      </c>
      <c r="E369" s="1">
        <f t="shared" ca="1" si="5"/>
        <v>0.84113973655290841</v>
      </c>
      <c r="F369" s="2">
        <v>68000</v>
      </c>
      <c r="G369" s="2">
        <f t="shared" si="6"/>
        <v>0</v>
      </c>
      <c r="H369" s="4">
        <v>33</v>
      </c>
      <c r="I369" s="1">
        <v>18000</v>
      </c>
      <c r="J369" s="2">
        <f t="shared" si="7"/>
        <v>0</v>
      </c>
      <c r="K369" s="2">
        <f t="shared" si="8"/>
        <v>0</v>
      </c>
      <c r="L369" s="2">
        <f t="shared" si="9"/>
        <v>0</v>
      </c>
    </row>
    <row r="370" spans="1:12" ht="15.75" customHeight="1" x14ac:dyDescent="0.3">
      <c r="A370" s="1" t="s">
        <v>20</v>
      </c>
      <c r="B370" s="1" t="s">
        <v>45</v>
      </c>
      <c r="C370" s="1">
        <v>1725.34</v>
      </c>
      <c r="D370" s="1">
        <v>2022</v>
      </c>
      <c r="E370" s="1">
        <f t="shared" ca="1" si="5"/>
        <v>0.22961170611285331</v>
      </c>
      <c r="F370" s="2">
        <v>150000</v>
      </c>
      <c r="G370" s="2">
        <f t="shared" si="6"/>
        <v>258801000000</v>
      </c>
      <c r="H370" s="4">
        <v>40</v>
      </c>
      <c r="I370" s="1">
        <v>17800</v>
      </c>
      <c r="J370" s="2">
        <f t="shared" si="7"/>
        <v>69013.599999999991</v>
      </c>
      <c r="K370" s="2">
        <f t="shared" si="8"/>
        <v>1228442079.9999998</v>
      </c>
      <c r="L370" s="2">
        <f t="shared" si="9"/>
        <v>257572557920</v>
      </c>
    </row>
    <row r="371" spans="1:12" ht="15.75" customHeight="1" x14ac:dyDescent="0.3">
      <c r="A371" s="1" t="s">
        <v>13</v>
      </c>
      <c r="B371" s="1" t="s">
        <v>51</v>
      </c>
      <c r="C371" s="1">
        <v>2445.86</v>
      </c>
      <c r="D371" s="1">
        <v>2021</v>
      </c>
      <c r="E371" s="1">
        <f t="shared" ca="1" si="5"/>
        <v>1.7559346324707126E-2</v>
      </c>
      <c r="F371" s="2">
        <v>50000</v>
      </c>
      <c r="G371" s="2">
        <f t="shared" si="6"/>
        <v>122293000000</v>
      </c>
      <c r="H371" s="4">
        <v>26</v>
      </c>
      <c r="I371" s="1">
        <v>9800</v>
      </c>
      <c r="J371" s="2">
        <f t="shared" si="7"/>
        <v>63592.36</v>
      </c>
      <c r="K371" s="2">
        <f t="shared" si="8"/>
        <v>623205128</v>
      </c>
      <c r="L371" s="2">
        <f t="shared" si="9"/>
        <v>121669794872</v>
      </c>
    </row>
    <row r="372" spans="1:12" ht="15.75" customHeight="1" x14ac:dyDescent="0.3">
      <c r="A372" s="1" t="s">
        <v>24</v>
      </c>
      <c r="B372" s="1" t="s">
        <v>29</v>
      </c>
      <c r="C372" s="1">
        <v>2893.22</v>
      </c>
      <c r="D372" s="1">
        <v>2020</v>
      </c>
      <c r="E372" s="1">
        <f t="shared" ca="1" si="5"/>
        <v>0.93679926946745784</v>
      </c>
      <c r="F372" s="2">
        <v>68000</v>
      </c>
      <c r="G372" s="2">
        <f t="shared" si="6"/>
        <v>196738960000</v>
      </c>
      <c r="H372" s="4">
        <v>31</v>
      </c>
      <c r="I372" s="1">
        <v>18000</v>
      </c>
      <c r="J372" s="2">
        <f t="shared" si="7"/>
        <v>89689.819999999992</v>
      </c>
      <c r="K372" s="2">
        <f t="shared" si="8"/>
        <v>1614416759.9999998</v>
      </c>
      <c r="L372" s="2">
        <f t="shared" si="9"/>
        <v>195124543240</v>
      </c>
    </row>
    <row r="373" spans="1:12" ht="15.75" customHeight="1" x14ac:dyDescent="0.3">
      <c r="A373" s="1" t="s">
        <v>13</v>
      </c>
      <c r="B373" s="1" t="s">
        <v>41</v>
      </c>
      <c r="C373" s="1">
        <v>1691.31</v>
      </c>
      <c r="D373" s="1">
        <v>2022</v>
      </c>
      <c r="E373" s="1">
        <f t="shared" ca="1" si="5"/>
        <v>0.10261320443128996</v>
      </c>
      <c r="F373" s="2">
        <v>50000</v>
      </c>
      <c r="G373" s="2">
        <f t="shared" si="6"/>
        <v>84565500000</v>
      </c>
      <c r="H373" s="4">
        <v>29</v>
      </c>
      <c r="I373" s="1">
        <v>9800</v>
      </c>
      <c r="J373" s="2">
        <f t="shared" si="7"/>
        <v>49047.99</v>
      </c>
      <c r="K373" s="2">
        <f t="shared" si="8"/>
        <v>480670302</v>
      </c>
      <c r="L373" s="2">
        <f t="shared" si="9"/>
        <v>84084829698</v>
      </c>
    </row>
    <row r="374" spans="1:12" ht="15.75" customHeight="1" x14ac:dyDescent="0.3">
      <c r="A374" s="1" t="s">
        <v>15</v>
      </c>
      <c r="B374" s="1" t="s">
        <v>34</v>
      </c>
      <c r="C374" s="1">
        <v>321917.73</v>
      </c>
      <c r="D374" s="1">
        <v>2020</v>
      </c>
      <c r="E374" s="1">
        <f t="shared" ca="1" si="5"/>
        <v>0.22295179414486632</v>
      </c>
      <c r="F374" s="2">
        <v>34000</v>
      </c>
      <c r="G374" s="2">
        <f t="shared" si="6"/>
        <v>10945202820000</v>
      </c>
      <c r="H374" s="4">
        <v>25</v>
      </c>
      <c r="I374" s="1">
        <v>9000</v>
      </c>
      <c r="J374" s="2">
        <f t="shared" si="7"/>
        <v>8047943.25</v>
      </c>
      <c r="K374" s="2">
        <f t="shared" si="8"/>
        <v>72431489250</v>
      </c>
      <c r="L374" s="2">
        <f t="shared" si="9"/>
        <v>10872771330750</v>
      </c>
    </row>
    <row r="375" spans="1:12" ht="15.75" customHeight="1" x14ac:dyDescent="0.3">
      <c r="A375" s="1" t="s">
        <v>13</v>
      </c>
      <c r="B375" s="1" t="s">
        <v>35</v>
      </c>
      <c r="C375" s="1">
        <v>2148.98</v>
      </c>
      <c r="D375" s="1">
        <v>2022</v>
      </c>
      <c r="E375" s="1">
        <f t="shared" ca="1" si="5"/>
        <v>0.26886408748115131</v>
      </c>
      <c r="F375" s="2">
        <v>50000</v>
      </c>
      <c r="G375" s="2">
        <f t="shared" si="6"/>
        <v>107449000000</v>
      </c>
      <c r="H375" s="4">
        <v>29</v>
      </c>
      <c r="I375" s="1">
        <v>9800</v>
      </c>
      <c r="J375" s="2">
        <f t="shared" si="7"/>
        <v>62320.42</v>
      </c>
      <c r="K375" s="2">
        <f t="shared" si="8"/>
        <v>610740116</v>
      </c>
      <c r="L375" s="2">
        <f t="shared" si="9"/>
        <v>106838259884</v>
      </c>
    </row>
    <row r="376" spans="1:12" ht="15.75" customHeight="1" x14ac:dyDescent="0.3">
      <c r="A376" s="1" t="s">
        <v>20</v>
      </c>
      <c r="B376" s="1" t="s">
        <v>33</v>
      </c>
      <c r="C376" s="1">
        <v>684.88</v>
      </c>
      <c r="D376" s="1">
        <v>2020</v>
      </c>
      <c r="E376" s="1">
        <f t="shared" ca="1" si="5"/>
        <v>0.31667352043929353</v>
      </c>
      <c r="F376" s="2">
        <v>150000</v>
      </c>
      <c r="G376" s="2">
        <f t="shared" si="6"/>
        <v>102732000000</v>
      </c>
      <c r="H376" s="4">
        <v>38</v>
      </c>
      <c r="I376" s="1">
        <v>17800</v>
      </c>
      <c r="J376" s="2">
        <f t="shared" si="7"/>
        <v>26025.439999999999</v>
      </c>
      <c r="K376" s="2">
        <f t="shared" si="8"/>
        <v>463252832</v>
      </c>
      <c r="L376" s="2">
        <f t="shared" si="9"/>
        <v>102268747168</v>
      </c>
    </row>
    <row r="377" spans="1:12" ht="15.75" customHeight="1" x14ac:dyDescent="0.3">
      <c r="A377" s="1" t="s">
        <v>13</v>
      </c>
      <c r="B377" s="1" t="s">
        <v>49</v>
      </c>
      <c r="C377" s="1">
        <v>9007.41</v>
      </c>
      <c r="D377" s="1">
        <v>2021</v>
      </c>
      <c r="E377" s="1">
        <f t="shared" ca="1" si="5"/>
        <v>0.10926504460287811</v>
      </c>
      <c r="F377" s="2">
        <v>50000</v>
      </c>
      <c r="G377" s="2">
        <f t="shared" si="6"/>
        <v>450370500000</v>
      </c>
      <c r="H377" s="4">
        <v>26</v>
      </c>
      <c r="I377" s="1">
        <v>9800</v>
      </c>
      <c r="J377" s="2">
        <f t="shared" si="7"/>
        <v>234192.66</v>
      </c>
      <c r="K377" s="2">
        <f t="shared" si="8"/>
        <v>2295088068</v>
      </c>
      <c r="L377" s="2">
        <f t="shared" si="9"/>
        <v>448075411932</v>
      </c>
    </row>
    <row r="378" spans="1:12" ht="15.75" customHeight="1" x14ac:dyDescent="0.3">
      <c r="A378" s="1" t="s">
        <v>13</v>
      </c>
      <c r="B378" s="1" t="s">
        <v>19</v>
      </c>
      <c r="C378" s="1">
        <v>43477.81</v>
      </c>
      <c r="D378" s="1">
        <v>2022</v>
      </c>
      <c r="E378" s="1">
        <f t="shared" ca="1" si="5"/>
        <v>0.17108677243449211</v>
      </c>
      <c r="F378" s="2">
        <v>50000</v>
      </c>
      <c r="G378" s="2">
        <f t="shared" si="6"/>
        <v>2173890500000</v>
      </c>
      <c r="H378" s="4">
        <v>29</v>
      </c>
      <c r="I378" s="1">
        <v>9800</v>
      </c>
      <c r="J378" s="2">
        <f t="shared" si="7"/>
        <v>1260856.49</v>
      </c>
      <c r="K378" s="2">
        <f t="shared" si="8"/>
        <v>12356393602</v>
      </c>
      <c r="L378" s="2">
        <f t="shared" si="9"/>
        <v>2161534106398</v>
      </c>
    </row>
    <row r="379" spans="1:12" ht="15.75" customHeight="1" x14ac:dyDescent="0.3">
      <c r="A379" s="1" t="s">
        <v>17</v>
      </c>
      <c r="B379" s="1" t="s">
        <v>28</v>
      </c>
      <c r="C379" s="1">
        <v>112.31</v>
      </c>
      <c r="D379" s="1">
        <v>2020</v>
      </c>
      <c r="E379" s="1">
        <f t="shared" ca="1" si="5"/>
        <v>0.39780950198450293</v>
      </c>
      <c r="F379" s="2">
        <v>130000</v>
      </c>
      <c r="G379" s="2">
        <f t="shared" si="6"/>
        <v>14600300000</v>
      </c>
      <c r="H379" s="4">
        <v>35</v>
      </c>
      <c r="I379" s="1">
        <v>17000</v>
      </c>
      <c r="J379" s="2">
        <f t="shared" si="7"/>
        <v>3930.85</v>
      </c>
      <c r="K379" s="2">
        <f t="shared" si="8"/>
        <v>66824450</v>
      </c>
      <c r="L379" s="2">
        <f t="shared" si="9"/>
        <v>14533475550</v>
      </c>
    </row>
    <row r="380" spans="1:12" ht="15.75" customHeight="1" x14ac:dyDescent="0.3">
      <c r="A380" s="1" t="s">
        <v>24</v>
      </c>
      <c r="B380" s="1" t="s">
        <v>28</v>
      </c>
      <c r="C380" s="1">
        <v>0</v>
      </c>
      <c r="D380" s="1">
        <v>2020</v>
      </c>
      <c r="E380" s="1">
        <f t="shared" ca="1" si="5"/>
        <v>0.18870677616041798</v>
      </c>
      <c r="F380" s="2">
        <v>68000</v>
      </c>
      <c r="G380" s="2">
        <f t="shared" si="6"/>
        <v>0</v>
      </c>
      <c r="H380" s="4">
        <v>31</v>
      </c>
      <c r="I380" s="1">
        <v>18000</v>
      </c>
      <c r="J380" s="2">
        <f t="shared" si="7"/>
        <v>0</v>
      </c>
      <c r="K380" s="2">
        <f t="shared" si="8"/>
        <v>0</v>
      </c>
      <c r="L380" s="2">
        <f t="shared" si="9"/>
        <v>0</v>
      </c>
    </row>
    <row r="381" spans="1:12" ht="15.75" customHeight="1" x14ac:dyDescent="0.3">
      <c r="A381" s="1" t="s">
        <v>24</v>
      </c>
      <c r="B381" s="1" t="s">
        <v>16</v>
      </c>
      <c r="C381" s="1">
        <v>0</v>
      </c>
      <c r="D381" s="1">
        <v>2020</v>
      </c>
      <c r="E381" s="1">
        <f t="shared" ca="1" si="5"/>
        <v>0.56263595022291957</v>
      </c>
      <c r="F381" s="2">
        <v>68000</v>
      </c>
      <c r="G381" s="2">
        <f t="shared" si="6"/>
        <v>0</v>
      </c>
      <c r="H381" s="4">
        <v>31</v>
      </c>
      <c r="I381" s="1">
        <v>18000</v>
      </c>
      <c r="J381" s="2">
        <f t="shared" si="7"/>
        <v>0</v>
      </c>
      <c r="K381" s="2">
        <f t="shared" si="8"/>
        <v>0</v>
      </c>
      <c r="L381" s="2">
        <f t="shared" si="9"/>
        <v>0</v>
      </c>
    </row>
    <row r="382" spans="1:12" ht="15.75" customHeight="1" x14ac:dyDescent="0.3">
      <c r="A382" s="1" t="s">
        <v>15</v>
      </c>
      <c r="B382" s="1" t="s">
        <v>50</v>
      </c>
      <c r="C382" s="1">
        <v>213206.31</v>
      </c>
      <c r="D382" s="1">
        <v>2022</v>
      </c>
      <c r="E382" s="1">
        <f t="shared" ca="1" si="5"/>
        <v>0.72354417314578623</v>
      </c>
      <c r="F382" s="2">
        <v>34000</v>
      </c>
      <c r="G382" s="2">
        <f t="shared" si="6"/>
        <v>7249014540000</v>
      </c>
      <c r="H382" s="4">
        <v>20</v>
      </c>
      <c r="I382" s="1">
        <v>9000</v>
      </c>
      <c r="J382" s="2">
        <f t="shared" si="7"/>
        <v>4264126.2</v>
      </c>
      <c r="K382" s="2">
        <f t="shared" si="8"/>
        <v>38377135800</v>
      </c>
      <c r="L382" s="2">
        <f t="shared" si="9"/>
        <v>7210637404200</v>
      </c>
    </row>
    <row r="383" spans="1:12" ht="15.75" customHeight="1" x14ac:dyDescent="0.3">
      <c r="A383" s="1" t="s">
        <v>13</v>
      </c>
      <c r="B383" s="1" t="s">
        <v>28</v>
      </c>
      <c r="C383" s="1">
        <v>717.08</v>
      </c>
      <c r="D383" s="1">
        <v>2021</v>
      </c>
      <c r="E383" s="1">
        <f t="shared" ca="1" si="5"/>
        <v>0.40752955962154291</v>
      </c>
      <c r="F383" s="2">
        <v>50000</v>
      </c>
      <c r="G383" s="2">
        <f t="shared" si="6"/>
        <v>35854000000</v>
      </c>
      <c r="H383" s="4">
        <v>26</v>
      </c>
      <c r="I383" s="1">
        <v>9800</v>
      </c>
      <c r="J383" s="2">
        <f t="shared" si="7"/>
        <v>18644.080000000002</v>
      </c>
      <c r="K383" s="2">
        <f t="shared" si="8"/>
        <v>182711984.00000003</v>
      </c>
      <c r="L383" s="2">
        <f t="shared" si="9"/>
        <v>35671288016</v>
      </c>
    </row>
    <row r="384" spans="1:12" ht="15.75" customHeight="1" x14ac:dyDescent="0.3">
      <c r="A384" s="1" t="s">
        <v>17</v>
      </c>
      <c r="B384" s="1" t="s">
        <v>51</v>
      </c>
      <c r="C384" s="1">
        <v>772.61</v>
      </c>
      <c r="D384" s="1">
        <v>2022</v>
      </c>
      <c r="E384" s="1">
        <f t="shared" ca="1" si="5"/>
        <v>0.12335323628223616</v>
      </c>
      <c r="F384" s="2">
        <v>130000</v>
      </c>
      <c r="G384" s="2">
        <f t="shared" si="6"/>
        <v>100439300000</v>
      </c>
      <c r="H384" s="4">
        <v>37</v>
      </c>
      <c r="I384" s="1">
        <v>17000</v>
      </c>
      <c r="J384" s="2">
        <f t="shared" si="7"/>
        <v>28586.57</v>
      </c>
      <c r="K384" s="2">
        <f t="shared" si="8"/>
        <v>485971690</v>
      </c>
      <c r="L384" s="2">
        <f t="shared" si="9"/>
        <v>99953328310</v>
      </c>
    </row>
    <row r="385" spans="1:12" ht="15.75" customHeight="1" x14ac:dyDescent="0.3">
      <c r="A385" s="1" t="s">
        <v>13</v>
      </c>
      <c r="B385" s="1" t="s">
        <v>30</v>
      </c>
      <c r="C385" s="1">
        <v>81.61</v>
      </c>
      <c r="D385" s="1">
        <v>2020</v>
      </c>
      <c r="E385" s="1">
        <f t="shared" ca="1" si="5"/>
        <v>0.82427273603511919</v>
      </c>
      <c r="F385" s="2">
        <v>50000</v>
      </c>
      <c r="G385" s="2">
        <f t="shared" si="6"/>
        <v>4080500000</v>
      </c>
      <c r="H385" s="4">
        <v>27</v>
      </c>
      <c r="I385" s="1">
        <v>9800</v>
      </c>
      <c r="J385" s="2">
        <f t="shared" si="7"/>
        <v>2203.4699999999998</v>
      </c>
      <c r="K385" s="2">
        <f t="shared" si="8"/>
        <v>21594005.999999996</v>
      </c>
      <c r="L385" s="2">
        <f t="shared" si="9"/>
        <v>4058905994</v>
      </c>
    </row>
    <row r="386" spans="1:12" ht="15.75" customHeight="1" x14ac:dyDescent="0.3">
      <c r="A386" s="1" t="s">
        <v>20</v>
      </c>
      <c r="B386" s="1" t="s">
        <v>22</v>
      </c>
      <c r="C386" s="1">
        <v>1832.35</v>
      </c>
      <c r="D386" s="1">
        <v>2021</v>
      </c>
      <c r="E386" s="1">
        <f t="shared" ca="1" si="5"/>
        <v>0.28398880852447284</v>
      </c>
      <c r="F386" s="2">
        <v>150000</v>
      </c>
      <c r="G386" s="2">
        <f t="shared" si="6"/>
        <v>274852500000</v>
      </c>
      <c r="H386" s="4">
        <v>39</v>
      </c>
      <c r="I386" s="1">
        <v>17800</v>
      </c>
      <c r="J386" s="2">
        <f t="shared" si="7"/>
        <v>71461.649999999994</v>
      </c>
      <c r="K386" s="2">
        <f t="shared" si="8"/>
        <v>1272017370</v>
      </c>
      <c r="L386" s="2">
        <f t="shared" si="9"/>
        <v>273580482630</v>
      </c>
    </row>
    <row r="387" spans="1:12" ht="15.75" customHeight="1" x14ac:dyDescent="0.3">
      <c r="A387" s="1" t="s">
        <v>20</v>
      </c>
      <c r="B387" s="1" t="s">
        <v>27</v>
      </c>
      <c r="C387" s="1">
        <v>3233.04</v>
      </c>
      <c r="D387" s="1">
        <v>2021</v>
      </c>
      <c r="E387" s="1">
        <f t="shared" ca="1" si="5"/>
        <v>0.93471387727236499</v>
      </c>
      <c r="F387" s="2">
        <v>150000</v>
      </c>
      <c r="G387" s="2">
        <f t="shared" si="6"/>
        <v>484956000000</v>
      </c>
      <c r="H387" s="4">
        <v>39</v>
      </c>
      <c r="I387" s="1">
        <v>17800</v>
      </c>
      <c r="J387" s="2">
        <f t="shared" si="7"/>
        <v>126088.56</v>
      </c>
      <c r="K387" s="2">
        <f t="shared" si="8"/>
        <v>2244376368</v>
      </c>
      <c r="L387" s="2">
        <f t="shared" si="9"/>
        <v>482711623632</v>
      </c>
    </row>
    <row r="388" spans="1:12" ht="15.75" customHeight="1" x14ac:dyDescent="0.3">
      <c r="A388" s="1" t="s">
        <v>17</v>
      </c>
      <c r="B388" s="1" t="s">
        <v>33</v>
      </c>
      <c r="C388" s="1">
        <v>188.65</v>
      </c>
      <c r="D388" s="1">
        <v>2022</v>
      </c>
      <c r="E388" s="1">
        <f t="shared" ca="1" si="5"/>
        <v>0.67335183593774373</v>
      </c>
      <c r="F388" s="2">
        <v>130000</v>
      </c>
      <c r="G388" s="2">
        <f t="shared" si="6"/>
        <v>24524500000</v>
      </c>
      <c r="H388" s="4">
        <v>37</v>
      </c>
      <c r="I388" s="1">
        <v>17000</v>
      </c>
      <c r="J388" s="2">
        <f t="shared" si="7"/>
        <v>6980.05</v>
      </c>
      <c r="K388" s="2">
        <f t="shared" si="8"/>
        <v>118660850</v>
      </c>
      <c r="L388" s="2">
        <f t="shared" si="9"/>
        <v>24405839150</v>
      </c>
    </row>
    <row r="389" spans="1:12" ht="15.75" customHeight="1" x14ac:dyDescent="0.3">
      <c r="A389" s="1" t="s">
        <v>24</v>
      </c>
      <c r="B389" s="1" t="s">
        <v>30</v>
      </c>
      <c r="C389" s="1">
        <v>65.290000000000006</v>
      </c>
      <c r="D389" s="1">
        <v>2022</v>
      </c>
      <c r="E389" s="1">
        <f t="shared" ca="1" si="5"/>
        <v>8.7731116751052829E-2</v>
      </c>
      <c r="F389" s="2">
        <v>68000</v>
      </c>
      <c r="G389" s="2">
        <f t="shared" si="6"/>
        <v>4439720000.000001</v>
      </c>
      <c r="H389" s="4">
        <v>28</v>
      </c>
      <c r="I389" s="1">
        <v>18000</v>
      </c>
      <c r="J389" s="2">
        <f t="shared" si="7"/>
        <v>1828.1200000000001</v>
      </c>
      <c r="K389" s="2">
        <f t="shared" si="8"/>
        <v>32906160.000000004</v>
      </c>
      <c r="L389" s="2">
        <f t="shared" si="9"/>
        <v>4406813840.000001</v>
      </c>
    </row>
    <row r="390" spans="1:12" ht="15.75" customHeight="1" x14ac:dyDescent="0.3">
      <c r="A390" s="1" t="s">
        <v>15</v>
      </c>
      <c r="B390" s="1" t="s">
        <v>45</v>
      </c>
      <c r="C390" s="1">
        <v>541.16</v>
      </c>
      <c r="D390" s="1">
        <v>2022</v>
      </c>
      <c r="E390" s="1">
        <f t="shared" ca="1" si="5"/>
        <v>0.38157204124575095</v>
      </c>
      <c r="F390" s="2">
        <v>34000</v>
      </c>
      <c r="G390" s="2">
        <f t="shared" si="6"/>
        <v>18399440000</v>
      </c>
      <c r="H390" s="4">
        <v>20</v>
      </c>
      <c r="I390" s="1">
        <v>9000</v>
      </c>
      <c r="J390" s="2">
        <f t="shared" si="7"/>
        <v>10823.199999999999</v>
      </c>
      <c r="K390" s="2">
        <f t="shared" si="8"/>
        <v>97408799.999999985</v>
      </c>
      <c r="L390" s="2">
        <f t="shared" si="9"/>
        <v>18302031200</v>
      </c>
    </row>
    <row r="391" spans="1:12" ht="15.75" customHeight="1" x14ac:dyDescent="0.3">
      <c r="A391" s="1" t="s">
        <v>20</v>
      </c>
      <c r="B391" s="1" t="s">
        <v>18</v>
      </c>
      <c r="C391" s="1">
        <v>3075.23</v>
      </c>
      <c r="D391" s="1">
        <v>2020</v>
      </c>
      <c r="E391" s="1">
        <f t="shared" ca="1" si="5"/>
        <v>0.8063374708967328</v>
      </c>
      <c r="F391" s="2">
        <v>150000</v>
      </c>
      <c r="G391" s="2">
        <f t="shared" si="6"/>
        <v>461284500000</v>
      </c>
      <c r="H391" s="4">
        <v>38</v>
      </c>
      <c r="I391" s="1">
        <v>17800</v>
      </c>
      <c r="J391" s="2">
        <f t="shared" si="7"/>
        <v>116858.74</v>
      </c>
      <c r="K391" s="2">
        <f t="shared" si="8"/>
        <v>2080085572</v>
      </c>
      <c r="L391" s="2">
        <f t="shared" si="9"/>
        <v>459204414428</v>
      </c>
    </row>
    <row r="392" spans="1:12" ht="15.75" customHeight="1" x14ac:dyDescent="0.3">
      <c r="A392" s="1" t="s">
        <v>15</v>
      </c>
      <c r="B392" s="1" t="s">
        <v>16</v>
      </c>
      <c r="C392" s="1">
        <v>4177.8100000000004</v>
      </c>
      <c r="D392" s="1">
        <v>2020</v>
      </c>
      <c r="E392" s="1">
        <f t="shared" ca="1" si="5"/>
        <v>3.3818492037648085E-2</v>
      </c>
      <c r="F392" s="2">
        <v>34000</v>
      </c>
      <c r="G392" s="2">
        <f t="shared" si="6"/>
        <v>142045540000.00003</v>
      </c>
      <c r="H392" s="4">
        <v>25</v>
      </c>
      <c r="I392" s="1">
        <v>9000</v>
      </c>
      <c r="J392" s="2">
        <f t="shared" si="7"/>
        <v>104445.25000000001</v>
      </c>
      <c r="K392" s="2">
        <f t="shared" si="8"/>
        <v>940007250.00000012</v>
      </c>
      <c r="L392" s="2">
        <f t="shared" si="9"/>
        <v>141105532750.00003</v>
      </c>
    </row>
    <row r="393" spans="1:12" ht="15.75" customHeight="1" x14ac:dyDescent="0.3">
      <c r="A393" s="1" t="s">
        <v>17</v>
      </c>
      <c r="B393" s="1" t="s">
        <v>47</v>
      </c>
      <c r="C393" s="1">
        <v>1721.07</v>
      </c>
      <c r="D393" s="1">
        <v>2021</v>
      </c>
      <c r="E393" s="1">
        <f t="shared" ca="1" si="5"/>
        <v>1.4578476650614069E-2</v>
      </c>
      <c r="F393" s="2">
        <v>130000</v>
      </c>
      <c r="G393" s="2">
        <f t="shared" si="6"/>
        <v>223739100000</v>
      </c>
      <c r="H393" s="4">
        <v>32</v>
      </c>
      <c r="I393" s="1">
        <v>17000</v>
      </c>
      <c r="J393" s="2">
        <f t="shared" si="7"/>
        <v>55074.239999999998</v>
      </c>
      <c r="K393" s="2">
        <f t="shared" si="8"/>
        <v>936262080</v>
      </c>
      <c r="L393" s="2">
        <f t="shared" si="9"/>
        <v>222802837920</v>
      </c>
    </row>
    <row r="394" spans="1:12" ht="15.75" customHeight="1" x14ac:dyDescent="0.3">
      <c r="A394" s="1" t="s">
        <v>15</v>
      </c>
      <c r="B394" s="1" t="s">
        <v>39</v>
      </c>
      <c r="C394" s="1">
        <v>193926.71</v>
      </c>
      <c r="D394" s="1">
        <v>2020</v>
      </c>
      <c r="E394" s="1">
        <f t="shared" ca="1" si="5"/>
        <v>0.10198523069409415</v>
      </c>
      <c r="F394" s="2">
        <v>34000</v>
      </c>
      <c r="G394" s="2">
        <f t="shared" si="6"/>
        <v>6593508140000</v>
      </c>
      <c r="H394" s="4">
        <v>25</v>
      </c>
      <c r="I394" s="1">
        <v>9000</v>
      </c>
      <c r="J394" s="2">
        <f t="shared" si="7"/>
        <v>4848167.75</v>
      </c>
      <c r="K394" s="2">
        <f t="shared" si="8"/>
        <v>43633509750</v>
      </c>
      <c r="L394" s="2">
        <f t="shared" si="9"/>
        <v>6549874630250</v>
      </c>
    </row>
    <row r="395" spans="1:12" ht="15.75" customHeight="1" x14ac:dyDescent="0.3">
      <c r="A395" s="1" t="s">
        <v>13</v>
      </c>
      <c r="B395" s="1" t="s">
        <v>21</v>
      </c>
      <c r="C395" s="1">
        <v>32594.02</v>
      </c>
      <c r="D395" s="1">
        <v>2021</v>
      </c>
      <c r="E395" s="1">
        <f t="shared" ca="1" si="5"/>
        <v>0.57702675287317828</v>
      </c>
      <c r="F395" s="2">
        <v>50000</v>
      </c>
      <c r="G395" s="2">
        <f t="shared" si="6"/>
        <v>1629701000000</v>
      </c>
      <c r="H395" s="4">
        <v>26</v>
      </c>
      <c r="I395" s="1">
        <v>9800</v>
      </c>
      <c r="J395" s="2">
        <f t="shared" si="7"/>
        <v>847444.52</v>
      </c>
      <c r="K395" s="2">
        <f t="shared" si="8"/>
        <v>8304956296</v>
      </c>
      <c r="L395" s="2">
        <f t="shared" si="9"/>
        <v>1621396043704</v>
      </c>
    </row>
    <row r="396" spans="1:12" ht="15.75" customHeight="1" x14ac:dyDescent="0.3">
      <c r="A396" s="1" t="s">
        <v>24</v>
      </c>
      <c r="B396" s="1" t="s">
        <v>21</v>
      </c>
      <c r="C396" s="1">
        <v>6211</v>
      </c>
      <c r="D396" s="1">
        <v>2022</v>
      </c>
      <c r="E396" s="1">
        <f t="shared" ca="1" si="5"/>
        <v>0.72681525378883527</v>
      </c>
      <c r="F396" s="2">
        <v>68000</v>
      </c>
      <c r="G396" s="2">
        <f t="shared" si="6"/>
        <v>422348000000</v>
      </c>
      <c r="H396" s="4">
        <v>28</v>
      </c>
      <c r="I396" s="1">
        <v>18000</v>
      </c>
      <c r="J396" s="2">
        <f t="shared" si="7"/>
        <v>173908</v>
      </c>
      <c r="K396" s="2">
        <f t="shared" si="8"/>
        <v>3130344000</v>
      </c>
      <c r="L396" s="2">
        <f t="shared" si="9"/>
        <v>419217656000</v>
      </c>
    </row>
    <row r="397" spans="1:12" ht="15.75" customHeight="1" x14ac:dyDescent="0.3">
      <c r="A397" s="1" t="s">
        <v>20</v>
      </c>
      <c r="B397" s="1" t="s">
        <v>25</v>
      </c>
      <c r="C397" s="1">
        <v>4522.93</v>
      </c>
      <c r="D397" s="1">
        <v>2021</v>
      </c>
      <c r="E397" s="1">
        <f t="shared" ca="1" si="5"/>
        <v>0.41690171221328165</v>
      </c>
      <c r="F397" s="2">
        <v>150000</v>
      </c>
      <c r="G397" s="2">
        <f t="shared" si="6"/>
        <v>678439500000</v>
      </c>
      <c r="H397" s="4">
        <v>39</v>
      </c>
      <c r="I397" s="1">
        <v>17800</v>
      </c>
      <c r="J397" s="2">
        <f t="shared" si="7"/>
        <v>176394.27000000002</v>
      </c>
      <c r="K397" s="2">
        <f t="shared" si="8"/>
        <v>3139818006.0000005</v>
      </c>
      <c r="L397" s="2">
        <f t="shared" si="9"/>
        <v>675299681994</v>
      </c>
    </row>
    <row r="398" spans="1:12" ht="15.75" customHeight="1" x14ac:dyDescent="0.3">
      <c r="A398" s="1" t="s">
        <v>15</v>
      </c>
      <c r="B398" s="1" t="s">
        <v>44</v>
      </c>
      <c r="C398" s="1">
        <v>32996.22</v>
      </c>
      <c r="D398" s="1">
        <v>2020</v>
      </c>
      <c r="E398" s="1">
        <f t="shared" ca="1" si="5"/>
        <v>0.18201972965521485</v>
      </c>
      <c r="F398" s="2">
        <v>34000</v>
      </c>
      <c r="G398" s="2">
        <f t="shared" si="6"/>
        <v>1121871480000</v>
      </c>
      <c r="H398" s="4">
        <v>25</v>
      </c>
      <c r="I398" s="1">
        <v>9000</v>
      </c>
      <c r="J398" s="2">
        <f t="shared" si="7"/>
        <v>824905.5</v>
      </c>
      <c r="K398" s="2">
        <f t="shared" si="8"/>
        <v>7424149500</v>
      </c>
      <c r="L398" s="2">
        <f t="shared" si="9"/>
        <v>1114447330500</v>
      </c>
    </row>
    <row r="399" spans="1:12" ht="15.75" customHeight="1" x14ac:dyDescent="0.3">
      <c r="A399" s="1" t="s">
        <v>20</v>
      </c>
      <c r="B399" s="1" t="s">
        <v>42</v>
      </c>
      <c r="C399" s="1">
        <v>11159.01</v>
      </c>
      <c r="D399" s="1">
        <v>2022</v>
      </c>
      <c r="E399" s="1">
        <f t="shared" ca="1" si="5"/>
        <v>0.34096377871585781</v>
      </c>
      <c r="F399" s="2">
        <v>150000</v>
      </c>
      <c r="G399" s="2">
        <f t="shared" si="6"/>
        <v>1673851500000</v>
      </c>
      <c r="H399" s="4">
        <v>40</v>
      </c>
      <c r="I399" s="1">
        <v>17800</v>
      </c>
      <c r="J399" s="2">
        <f t="shared" si="7"/>
        <v>446360.4</v>
      </c>
      <c r="K399" s="2">
        <f t="shared" si="8"/>
        <v>7945215120</v>
      </c>
      <c r="L399" s="2">
        <f t="shared" si="9"/>
        <v>1665906284880</v>
      </c>
    </row>
    <row r="400" spans="1:12" ht="15.75" customHeight="1" x14ac:dyDescent="0.3">
      <c r="A400" s="1" t="s">
        <v>15</v>
      </c>
      <c r="B400" s="1" t="s">
        <v>44</v>
      </c>
      <c r="C400" s="1">
        <v>33302.47</v>
      </c>
      <c r="D400" s="1">
        <v>2021</v>
      </c>
      <c r="E400" s="1">
        <f t="shared" ca="1" si="5"/>
        <v>5.3655309931515238E-2</v>
      </c>
      <c r="F400" s="2">
        <v>34000</v>
      </c>
      <c r="G400" s="2">
        <f t="shared" si="6"/>
        <v>1132283980000</v>
      </c>
      <c r="H400" s="4">
        <v>21</v>
      </c>
      <c r="I400" s="1">
        <v>9000</v>
      </c>
      <c r="J400" s="2">
        <f t="shared" si="7"/>
        <v>699351.87</v>
      </c>
      <c r="K400" s="2">
        <f t="shared" si="8"/>
        <v>6294166830</v>
      </c>
      <c r="L400" s="2">
        <f t="shared" si="9"/>
        <v>1125989813170</v>
      </c>
    </row>
    <row r="401" spans="1:12" ht="15.75" customHeight="1" x14ac:dyDescent="0.3">
      <c r="A401" s="1" t="s">
        <v>20</v>
      </c>
      <c r="B401" s="1" t="s">
        <v>22</v>
      </c>
      <c r="C401" s="1">
        <v>1650.59</v>
      </c>
      <c r="D401" s="1">
        <v>2020</v>
      </c>
      <c r="E401" s="1">
        <f t="shared" ca="1" si="5"/>
        <v>0.81188890426757876</v>
      </c>
      <c r="F401" s="2">
        <v>150000</v>
      </c>
      <c r="G401" s="2">
        <f t="shared" si="6"/>
        <v>247588500000</v>
      </c>
      <c r="H401" s="4">
        <v>38</v>
      </c>
      <c r="I401" s="1">
        <v>17800</v>
      </c>
      <c r="J401" s="2">
        <f t="shared" si="7"/>
        <v>62722.42</v>
      </c>
      <c r="K401" s="2">
        <f t="shared" si="8"/>
        <v>1116459076</v>
      </c>
      <c r="L401" s="2">
        <f t="shared" si="9"/>
        <v>246472040924</v>
      </c>
    </row>
    <row r="402" spans="1:12" ht="15.75" customHeight="1" x14ac:dyDescent="0.3">
      <c r="A402" s="1" t="s">
        <v>13</v>
      </c>
      <c r="B402" s="1" t="s">
        <v>30</v>
      </c>
      <c r="C402" s="1">
        <v>138.63</v>
      </c>
      <c r="D402" s="1">
        <v>2022</v>
      </c>
      <c r="E402" s="1">
        <f t="shared" ca="1" si="5"/>
        <v>2.0865121739699122E-2</v>
      </c>
      <c r="F402" s="2">
        <v>50000</v>
      </c>
      <c r="G402" s="2">
        <f t="shared" si="6"/>
        <v>6931500000</v>
      </c>
      <c r="H402" s="4">
        <v>29</v>
      </c>
      <c r="I402" s="1">
        <v>9800</v>
      </c>
      <c r="J402" s="2">
        <f t="shared" si="7"/>
        <v>4020.27</v>
      </c>
      <c r="K402" s="2">
        <f t="shared" si="8"/>
        <v>39398646</v>
      </c>
      <c r="L402" s="2">
        <f t="shared" si="9"/>
        <v>6892101354</v>
      </c>
    </row>
    <row r="403" spans="1:12" ht="15.75" customHeight="1" x14ac:dyDescent="0.3">
      <c r="A403" s="1" t="s">
        <v>13</v>
      </c>
      <c r="B403" s="1" t="s">
        <v>37</v>
      </c>
      <c r="C403" s="1">
        <v>1328.64</v>
      </c>
      <c r="D403" s="1">
        <v>2022</v>
      </c>
      <c r="E403" s="1">
        <f t="shared" ca="1" si="5"/>
        <v>0.82281708404854959</v>
      </c>
      <c r="F403" s="2">
        <v>50000</v>
      </c>
      <c r="G403" s="2">
        <f t="shared" si="6"/>
        <v>66432000000</v>
      </c>
      <c r="H403" s="4">
        <v>29</v>
      </c>
      <c r="I403" s="1">
        <v>9800</v>
      </c>
      <c r="J403" s="2">
        <f t="shared" si="7"/>
        <v>38530.560000000005</v>
      </c>
      <c r="K403" s="2">
        <f t="shared" si="8"/>
        <v>377599488.00000006</v>
      </c>
      <c r="L403" s="2">
        <f t="shared" si="9"/>
        <v>66054400512</v>
      </c>
    </row>
    <row r="404" spans="1:12" ht="15.75" customHeight="1" x14ac:dyDescent="0.3">
      <c r="A404" s="1" t="s">
        <v>17</v>
      </c>
      <c r="B404" s="1" t="s">
        <v>36</v>
      </c>
      <c r="C404" s="1">
        <v>3068.77</v>
      </c>
      <c r="D404" s="1">
        <v>2020</v>
      </c>
      <c r="E404" s="1">
        <f t="shared" ca="1" si="5"/>
        <v>0.84909810213450121</v>
      </c>
      <c r="F404" s="2">
        <v>130000</v>
      </c>
      <c r="G404" s="2">
        <f t="shared" si="6"/>
        <v>398940100000</v>
      </c>
      <c r="H404" s="4">
        <v>35</v>
      </c>
      <c r="I404" s="1">
        <v>17000</v>
      </c>
      <c r="J404" s="2">
        <f t="shared" si="7"/>
        <v>107406.95</v>
      </c>
      <c r="K404" s="2">
        <f t="shared" si="8"/>
        <v>1825918150</v>
      </c>
      <c r="L404" s="2">
        <f t="shared" si="9"/>
        <v>397114181850</v>
      </c>
    </row>
    <row r="405" spans="1:12" ht="15.75" customHeight="1" x14ac:dyDescent="0.3">
      <c r="A405" s="1" t="s">
        <v>24</v>
      </c>
      <c r="B405" s="1" t="s">
        <v>29</v>
      </c>
      <c r="C405" s="1">
        <v>2480.04</v>
      </c>
      <c r="D405" s="1">
        <v>2021</v>
      </c>
      <c r="E405" s="1">
        <f t="shared" ca="1" si="5"/>
        <v>0.60987773293396053</v>
      </c>
      <c r="F405" s="2">
        <v>68000</v>
      </c>
      <c r="G405" s="2">
        <f t="shared" si="6"/>
        <v>168642720000</v>
      </c>
      <c r="H405" s="4">
        <v>33</v>
      </c>
      <c r="I405" s="1">
        <v>18000</v>
      </c>
      <c r="J405" s="2">
        <f t="shared" si="7"/>
        <v>81841.319999999992</v>
      </c>
      <c r="K405" s="2">
        <f t="shared" si="8"/>
        <v>1473143759.9999998</v>
      </c>
      <c r="L405" s="2">
        <f t="shared" si="9"/>
        <v>167169576240</v>
      </c>
    </row>
    <row r="406" spans="1:12" ht="15.75" customHeight="1" x14ac:dyDescent="0.3">
      <c r="A406" s="1" t="s">
        <v>13</v>
      </c>
      <c r="B406" s="1" t="s">
        <v>48</v>
      </c>
      <c r="C406" s="1">
        <v>33392.97</v>
      </c>
      <c r="D406" s="1">
        <v>2022</v>
      </c>
      <c r="E406" s="1">
        <f t="shared" ca="1" si="5"/>
        <v>2.0095892912748714E-2</v>
      </c>
      <c r="F406" s="2">
        <v>50000</v>
      </c>
      <c r="G406" s="2">
        <f t="shared" si="6"/>
        <v>1669648500000</v>
      </c>
      <c r="H406" s="4">
        <v>29</v>
      </c>
      <c r="I406" s="1">
        <v>9800</v>
      </c>
      <c r="J406" s="2">
        <f t="shared" si="7"/>
        <v>968396.13</v>
      </c>
      <c r="K406" s="2">
        <f t="shared" si="8"/>
        <v>9490282074</v>
      </c>
      <c r="L406" s="2">
        <f t="shared" si="9"/>
        <v>1660158217926</v>
      </c>
    </row>
    <row r="407" spans="1:12" ht="15.75" customHeight="1" x14ac:dyDescent="0.3">
      <c r="A407" s="1" t="s">
        <v>15</v>
      </c>
      <c r="B407" s="1" t="s">
        <v>51</v>
      </c>
      <c r="C407" s="1">
        <v>26867.21</v>
      </c>
      <c r="D407" s="1">
        <v>2020</v>
      </c>
      <c r="E407" s="1">
        <f t="shared" ca="1" si="5"/>
        <v>0.32701342299573388</v>
      </c>
      <c r="F407" s="2">
        <v>34000</v>
      </c>
      <c r="G407" s="2">
        <f t="shared" si="6"/>
        <v>913485140000</v>
      </c>
      <c r="H407" s="4">
        <v>25</v>
      </c>
      <c r="I407" s="1">
        <v>9000</v>
      </c>
      <c r="J407" s="2">
        <f t="shared" si="7"/>
        <v>671680.25</v>
      </c>
      <c r="K407" s="2">
        <f t="shared" si="8"/>
        <v>6045122250</v>
      </c>
      <c r="L407" s="2">
        <f t="shared" si="9"/>
        <v>907440017750</v>
      </c>
    </row>
    <row r="408" spans="1:12" ht="15.75" customHeight="1" x14ac:dyDescent="0.3">
      <c r="A408" s="1" t="s">
        <v>17</v>
      </c>
      <c r="B408" s="1" t="s">
        <v>41</v>
      </c>
      <c r="C408" s="1">
        <v>748.8</v>
      </c>
      <c r="D408" s="1">
        <v>2022</v>
      </c>
      <c r="E408" s="1">
        <f t="shared" ca="1" si="5"/>
        <v>0.33052433494803468</v>
      </c>
      <c r="F408" s="2">
        <v>130000</v>
      </c>
      <c r="G408" s="2">
        <f t="shared" si="6"/>
        <v>97344000000</v>
      </c>
      <c r="H408" s="4">
        <v>37</v>
      </c>
      <c r="I408" s="1">
        <v>17000</v>
      </c>
      <c r="J408" s="2">
        <f t="shared" si="7"/>
        <v>27705.599999999999</v>
      </c>
      <c r="K408" s="2">
        <f t="shared" si="8"/>
        <v>470995200</v>
      </c>
      <c r="L408" s="2">
        <f t="shared" si="9"/>
        <v>96873004800</v>
      </c>
    </row>
    <row r="409" spans="1:12" ht="15.75" customHeight="1" x14ac:dyDescent="0.3">
      <c r="A409" s="1" t="s">
        <v>24</v>
      </c>
      <c r="B409" s="1" t="s">
        <v>46</v>
      </c>
      <c r="C409" s="1">
        <v>1.29</v>
      </c>
      <c r="D409" s="1">
        <v>2022</v>
      </c>
      <c r="E409" s="1">
        <f t="shared" ca="1" si="5"/>
        <v>0.30868854258444778</v>
      </c>
      <c r="F409" s="2">
        <v>68000</v>
      </c>
      <c r="G409" s="2">
        <f t="shared" si="6"/>
        <v>87720000</v>
      </c>
      <c r="H409" s="4">
        <v>28</v>
      </c>
      <c r="I409" s="1">
        <v>18000</v>
      </c>
      <c r="J409" s="2">
        <f t="shared" si="7"/>
        <v>36.120000000000005</v>
      </c>
      <c r="K409" s="2">
        <f t="shared" si="8"/>
        <v>650160.00000000012</v>
      </c>
      <c r="L409" s="2">
        <f t="shared" si="9"/>
        <v>87069840</v>
      </c>
    </row>
    <row r="410" spans="1:12" ht="15.75" customHeight="1" x14ac:dyDescent="0.3">
      <c r="A410" s="1" t="s">
        <v>17</v>
      </c>
      <c r="B410" s="1" t="s">
        <v>25</v>
      </c>
      <c r="C410" s="1">
        <v>324.27999999999997</v>
      </c>
      <c r="D410" s="1">
        <v>2020</v>
      </c>
      <c r="E410" s="1">
        <f t="shared" ca="1" si="5"/>
        <v>0.53309121307651719</v>
      </c>
      <c r="F410" s="2">
        <v>130000</v>
      </c>
      <c r="G410" s="2">
        <f t="shared" si="6"/>
        <v>42156400000</v>
      </c>
      <c r="H410" s="4">
        <v>35</v>
      </c>
      <c r="I410" s="1">
        <v>17000</v>
      </c>
      <c r="J410" s="2">
        <f t="shared" si="7"/>
        <v>11349.8</v>
      </c>
      <c r="K410" s="2">
        <f t="shared" si="8"/>
        <v>192946600</v>
      </c>
      <c r="L410" s="2">
        <f t="shared" si="9"/>
        <v>41963453400</v>
      </c>
    </row>
    <row r="411" spans="1:12" ht="15.75" customHeight="1" x14ac:dyDescent="0.3">
      <c r="A411" s="1" t="s">
        <v>24</v>
      </c>
      <c r="B411" s="1" t="s">
        <v>51</v>
      </c>
      <c r="C411" s="1">
        <v>4.95</v>
      </c>
      <c r="D411" s="1">
        <v>2020</v>
      </c>
      <c r="E411" s="1">
        <f t="shared" ca="1" si="5"/>
        <v>0.37004485425512412</v>
      </c>
      <c r="F411" s="2">
        <v>68000</v>
      </c>
      <c r="G411" s="2">
        <f t="shared" si="6"/>
        <v>336600000</v>
      </c>
      <c r="H411" s="4">
        <v>31</v>
      </c>
      <c r="I411" s="1">
        <v>18000</v>
      </c>
      <c r="J411" s="2">
        <f t="shared" si="7"/>
        <v>153.45000000000002</v>
      </c>
      <c r="K411" s="2">
        <f t="shared" si="8"/>
        <v>2762100.0000000005</v>
      </c>
      <c r="L411" s="2">
        <f t="shared" si="9"/>
        <v>333837900</v>
      </c>
    </row>
    <row r="412" spans="1:12" ht="15.75" customHeight="1" x14ac:dyDescent="0.3">
      <c r="A412" s="1" t="s">
        <v>17</v>
      </c>
      <c r="B412" s="1" t="s">
        <v>49</v>
      </c>
      <c r="C412" s="1">
        <v>2001.09</v>
      </c>
      <c r="D412" s="1">
        <v>2021</v>
      </c>
      <c r="E412" s="1">
        <f t="shared" ca="1" si="5"/>
        <v>0.18595373687667749</v>
      </c>
      <c r="F412" s="2">
        <v>130000</v>
      </c>
      <c r="G412" s="2">
        <f t="shared" si="6"/>
        <v>260141700000</v>
      </c>
      <c r="H412" s="4">
        <v>32</v>
      </c>
      <c r="I412" s="1">
        <v>17000</v>
      </c>
      <c r="J412" s="2">
        <f t="shared" si="7"/>
        <v>64034.879999999997</v>
      </c>
      <c r="K412" s="2">
        <f t="shared" si="8"/>
        <v>1088592960</v>
      </c>
      <c r="L412" s="2">
        <f t="shared" si="9"/>
        <v>259053107040</v>
      </c>
    </row>
    <row r="413" spans="1:12" ht="15.75" customHeight="1" x14ac:dyDescent="0.3">
      <c r="A413" s="1" t="s">
        <v>20</v>
      </c>
      <c r="B413" s="1" t="s">
        <v>35</v>
      </c>
      <c r="C413" s="1">
        <v>2308.4</v>
      </c>
      <c r="D413" s="1">
        <v>2020</v>
      </c>
      <c r="E413" s="1">
        <f t="shared" ca="1" si="5"/>
        <v>0.4251087538239291</v>
      </c>
      <c r="F413" s="2">
        <v>150000</v>
      </c>
      <c r="G413" s="2">
        <f t="shared" si="6"/>
        <v>346260000000</v>
      </c>
      <c r="H413" s="4">
        <v>38</v>
      </c>
      <c r="I413" s="1">
        <v>17800</v>
      </c>
      <c r="J413" s="2">
        <f t="shared" si="7"/>
        <v>87719.2</v>
      </c>
      <c r="K413" s="2">
        <f t="shared" si="8"/>
        <v>1561401760</v>
      </c>
      <c r="L413" s="2">
        <f t="shared" si="9"/>
        <v>344698598240</v>
      </c>
    </row>
    <row r="414" spans="1:12" ht="15.75" customHeight="1" x14ac:dyDescent="0.3">
      <c r="A414" s="1" t="s">
        <v>17</v>
      </c>
      <c r="B414" s="1" t="s">
        <v>47</v>
      </c>
      <c r="C414" s="1">
        <v>1742.3</v>
      </c>
      <c r="D414" s="1">
        <v>2020</v>
      </c>
      <c r="E414" s="1">
        <f t="shared" ca="1" si="5"/>
        <v>0.47166014592451111</v>
      </c>
      <c r="F414" s="2">
        <v>130000</v>
      </c>
      <c r="G414" s="2">
        <f t="shared" si="6"/>
        <v>226499000000</v>
      </c>
      <c r="H414" s="4">
        <v>35</v>
      </c>
      <c r="I414" s="1">
        <v>17000</v>
      </c>
      <c r="J414" s="2">
        <f t="shared" si="7"/>
        <v>60980.5</v>
      </c>
      <c r="K414" s="2">
        <f t="shared" si="8"/>
        <v>1036668500</v>
      </c>
      <c r="L414" s="2">
        <f t="shared" si="9"/>
        <v>225462331500</v>
      </c>
    </row>
    <row r="415" spans="1:12" ht="15.75" customHeight="1" x14ac:dyDescent="0.3">
      <c r="A415" s="1" t="s">
        <v>24</v>
      </c>
      <c r="B415" s="1" t="s">
        <v>42</v>
      </c>
      <c r="C415" s="1">
        <v>0.99</v>
      </c>
      <c r="D415" s="1">
        <v>2020</v>
      </c>
      <c r="E415" s="1">
        <f t="shared" ca="1" si="5"/>
        <v>0.79248975487090467</v>
      </c>
      <c r="F415" s="2">
        <v>68000</v>
      </c>
      <c r="G415" s="2">
        <f t="shared" si="6"/>
        <v>67320000</v>
      </c>
      <c r="H415" s="4">
        <v>31</v>
      </c>
      <c r="I415" s="1">
        <v>18000</v>
      </c>
      <c r="J415" s="2">
        <f t="shared" si="7"/>
        <v>30.69</v>
      </c>
      <c r="K415" s="2">
        <f t="shared" si="8"/>
        <v>552420</v>
      </c>
      <c r="L415" s="2">
        <f t="shared" si="9"/>
        <v>66767580</v>
      </c>
    </row>
    <row r="416" spans="1:12" ht="15.75" customHeight="1" x14ac:dyDescent="0.3">
      <c r="A416" s="1" t="s">
        <v>13</v>
      </c>
      <c r="B416" s="1" t="s">
        <v>22</v>
      </c>
      <c r="C416" s="1">
        <v>749.94</v>
      </c>
      <c r="D416" s="1">
        <v>2022</v>
      </c>
      <c r="E416" s="1">
        <f t="shared" ca="1" si="5"/>
        <v>0.13962411569343081</v>
      </c>
      <c r="F416" s="2">
        <v>50000</v>
      </c>
      <c r="G416" s="2">
        <f t="shared" si="6"/>
        <v>37497000000</v>
      </c>
      <c r="H416" s="4">
        <v>29</v>
      </c>
      <c r="I416" s="1">
        <v>9800</v>
      </c>
      <c r="J416" s="2">
        <f t="shared" si="7"/>
        <v>21748.260000000002</v>
      </c>
      <c r="K416" s="2">
        <f t="shared" si="8"/>
        <v>213132948.00000003</v>
      </c>
      <c r="L416" s="2">
        <f t="shared" si="9"/>
        <v>37283867052</v>
      </c>
    </row>
    <row r="417" spans="1:12" ht="15.75" customHeight="1" x14ac:dyDescent="0.3">
      <c r="A417" s="1" t="s">
        <v>20</v>
      </c>
      <c r="B417" s="1" t="s">
        <v>33</v>
      </c>
      <c r="C417" s="1">
        <v>895.57</v>
      </c>
      <c r="D417" s="1">
        <v>2022</v>
      </c>
      <c r="E417" s="1">
        <f t="shared" ca="1" si="5"/>
        <v>0.54086801141082785</v>
      </c>
      <c r="F417" s="2">
        <v>150000</v>
      </c>
      <c r="G417" s="2">
        <f t="shared" si="6"/>
        <v>134335500000</v>
      </c>
      <c r="H417" s="4">
        <v>40</v>
      </c>
      <c r="I417" s="1">
        <v>17800</v>
      </c>
      <c r="J417" s="2">
        <f t="shared" si="7"/>
        <v>35822.800000000003</v>
      </c>
      <c r="K417" s="2">
        <f t="shared" si="8"/>
        <v>637645840</v>
      </c>
      <c r="L417" s="2">
        <f t="shared" si="9"/>
        <v>133697854160</v>
      </c>
    </row>
    <row r="418" spans="1:12" ht="15.75" customHeight="1" x14ac:dyDescent="0.3">
      <c r="A418" s="1" t="s">
        <v>13</v>
      </c>
      <c r="B418" s="1" t="s">
        <v>48</v>
      </c>
      <c r="C418" s="1">
        <v>35030.019999999997</v>
      </c>
      <c r="D418" s="1">
        <v>2020</v>
      </c>
      <c r="E418" s="1">
        <f t="shared" ca="1" si="5"/>
        <v>0.84091835113446589</v>
      </c>
      <c r="F418" s="2">
        <v>50000</v>
      </c>
      <c r="G418" s="2">
        <f t="shared" si="6"/>
        <v>1751501000000</v>
      </c>
      <c r="H418" s="4">
        <v>27</v>
      </c>
      <c r="I418" s="1">
        <v>9800</v>
      </c>
      <c r="J418" s="2">
        <f t="shared" si="7"/>
        <v>945810.53999999992</v>
      </c>
      <c r="K418" s="2">
        <f t="shared" si="8"/>
        <v>9268943292</v>
      </c>
      <c r="L418" s="2">
        <f t="shared" si="9"/>
        <v>1742232056708</v>
      </c>
    </row>
    <row r="419" spans="1:12" ht="15.75" customHeight="1" x14ac:dyDescent="0.3">
      <c r="A419" s="1" t="s">
        <v>15</v>
      </c>
      <c r="B419" s="1" t="s">
        <v>51</v>
      </c>
      <c r="C419" s="1">
        <v>30229.35</v>
      </c>
      <c r="D419" s="1">
        <v>2021</v>
      </c>
      <c r="E419" s="1">
        <f t="shared" ca="1" si="5"/>
        <v>0.68329145632643917</v>
      </c>
      <c r="F419" s="2">
        <v>34000</v>
      </c>
      <c r="G419" s="2">
        <f t="shared" si="6"/>
        <v>1027797900000</v>
      </c>
      <c r="H419" s="4">
        <v>21</v>
      </c>
      <c r="I419" s="1">
        <v>9000</v>
      </c>
      <c r="J419" s="2">
        <f t="shared" si="7"/>
        <v>634816.35</v>
      </c>
      <c r="K419" s="2">
        <f t="shared" si="8"/>
        <v>5713347150</v>
      </c>
      <c r="L419" s="2">
        <f t="shared" si="9"/>
        <v>1022084552850</v>
      </c>
    </row>
    <row r="420" spans="1:12" ht="15.75" customHeight="1" x14ac:dyDescent="0.3">
      <c r="A420" s="1" t="s">
        <v>15</v>
      </c>
      <c r="B420" s="1" t="s">
        <v>26</v>
      </c>
      <c r="C420" s="1">
        <v>453118.88</v>
      </c>
      <c r="D420" s="1">
        <v>2021</v>
      </c>
      <c r="E420" s="1">
        <f t="shared" ca="1" si="5"/>
        <v>0.16420724513477569</v>
      </c>
      <c r="F420" s="2">
        <v>34000</v>
      </c>
      <c r="G420" s="2">
        <f t="shared" si="6"/>
        <v>15406041920000</v>
      </c>
      <c r="H420" s="4">
        <v>21</v>
      </c>
      <c r="I420" s="1">
        <v>9000</v>
      </c>
      <c r="J420" s="2">
        <f t="shared" si="7"/>
        <v>9515496.4800000004</v>
      </c>
      <c r="K420" s="2">
        <f t="shared" si="8"/>
        <v>85639468320</v>
      </c>
      <c r="L420" s="2">
        <f t="shared" si="9"/>
        <v>15320402451680</v>
      </c>
    </row>
    <row r="421" spans="1:12" ht="15.75" customHeight="1" x14ac:dyDescent="0.3">
      <c r="A421" s="1" t="s">
        <v>17</v>
      </c>
      <c r="B421" s="1" t="s">
        <v>30</v>
      </c>
      <c r="C421" s="1">
        <v>705.98</v>
      </c>
      <c r="D421" s="1">
        <v>2021</v>
      </c>
      <c r="E421" s="1">
        <f t="shared" ca="1" si="5"/>
        <v>0.85870107013623664</v>
      </c>
      <c r="F421" s="2">
        <v>130000</v>
      </c>
      <c r="G421" s="2">
        <f t="shared" si="6"/>
        <v>91777400000</v>
      </c>
      <c r="H421" s="4">
        <v>32</v>
      </c>
      <c r="I421" s="1">
        <v>17000</v>
      </c>
      <c r="J421" s="2">
        <f t="shared" si="7"/>
        <v>22591.360000000001</v>
      </c>
      <c r="K421" s="2">
        <f t="shared" si="8"/>
        <v>384053120</v>
      </c>
      <c r="L421" s="2">
        <f t="shared" si="9"/>
        <v>91393346880</v>
      </c>
    </row>
    <row r="422" spans="1:12" ht="15.75" customHeight="1" x14ac:dyDescent="0.3">
      <c r="A422" s="1" t="s">
        <v>15</v>
      </c>
      <c r="B422" s="1" t="s">
        <v>30</v>
      </c>
      <c r="C422" s="1">
        <v>0</v>
      </c>
      <c r="D422" s="1">
        <v>2020</v>
      </c>
      <c r="E422" s="1">
        <f t="shared" ca="1" si="5"/>
        <v>0.91768579038699216</v>
      </c>
      <c r="F422" s="2">
        <v>34000</v>
      </c>
      <c r="G422" s="2">
        <f t="shared" si="6"/>
        <v>0</v>
      </c>
      <c r="H422" s="4">
        <v>25</v>
      </c>
      <c r="I422" s="1">
        <v>9000</v>
      </c>
      <c r="J422" s="2">
        <f t="shared" si="7"/>
        <v>0</v>
      </c>
      <c r="K422" s="2">
        <f t="shared" si="8"/>
        <v>0</v>
      </c>
      <c r="L422" s="2">
        <f t="shared" si="9"/>
        <v>0</v>
      </c>
    </row>
    <row r="423" spans="1:12" ht="15.75" customHeight="1" x14ac:dyDescent="0.3">
      <c r="A423" s="1" t="s">
        <v>13</v>
      </c>
      <c r="B423" s="1" t="s">
        <v>26</v>
      </c>
      <c r="C423" s="1">
        <v>13112.35</v>
      </c>
      <c r="D423" s="1">
        <v>2021</v>
      </c>
      <c r="E423" s="1">
        <f t="shared" ca="1" si="5"/>
        <v>8.6386093747395698E-2</v>
      </c>
      <c r="F423" s="2">
        <v>50000</v>
      </c>
      <c r="G423" s="2">
        <f t="shared" si="6"/>
        <v>655617500000</v>
      </c>
      <c r="H423" s="4">
        <v>26</v>
      </c>
      <c r="I423" s="1">
        <v>9800</v>
      </c>
      <c r="J423" s="2">
        <f t="shared" si="7"/>
        <v>340921.10000000003</v>
      </c>
      <c r="K423" s="2">
        <f t="shared" si="8"/>
        <v>3341026780.0000005</v>
      </c>
      <c r="L423" s="2">
        <f t="shared" si="9"/>
        <v>652276473220</v>
      </c>
    </row>
    <row r="424" spans="1:12" ht="15.75" customHeight="1" x14ac:dyDescent="0.3">
      <c r="A424" s="1" t="s">
        <v>17</v>
      </c>
      <c r="B424" s="1" t="s">
        <v>21</v>
      </c>
      <c r="C424" s="1">
        <v>11699.54</v>
      </c>
      <c r="D424" s="1">
        <v>2022</v>
      </c>
      <c r="E424" s="1">
        <f t="shared" ca="1" si="5"/>
        <v>0.18103353999526373</v>
      </c>
      <c r="F424" s="2">
        <v>130000</v>
      </c>
      <c r="G424" s="2">
        <f t="shared" si="6"/>
        <v>1520940200000</v>
      </c>
      <c r="H424" s="4">
        <v>37</v>
      </c>
      <c r="I424" s="1">
        <v>17000</v>
      </c>
      <c r="J424" s="2">
        <f t="shared" si="7"/>
        <v>432882.98000000004</v>
      </c>
      <c r="K424" s="2">
        <f t="shared" si="8"/>
        <v>7359010660.000001</v>
      </c>
      <c r="L424" s="2">
        <f t="shared" si="9"/>
        <v>1513581189340</v>
      </c>
    </row>
    <row r="425" spans="1:12" ht="15.75" customHeight="1" x14ac:dyDescent="0.3">
      <c r="A425" s="1" t="s">
        <v>15</v>
      </c>
      <c r="B425" s="1" t="s">
        <v>32</v>
      </c>
      <c r="C425" s="1">
        <v>16111.78</v>
      </c>
      <c r="D425" s="1">
        <v>2020</v>
      </c>
      <c r="E425" s="1">
        <f t="shared" ca="1" si="5"/>
        <v>7.1047110293441018E-2</v>
      </c>
      <c r="F425" s="2">
        <v>34000</v>
      </c>
      <c r="G425" s="2">
        <f t="shared" si="6"/>
        <v>547800520000</v>
      </c>
      <c r="H425" s="4">
        <v>25</v>
      </c>
      <c r="I425" s="1">
        <v>9000</v>
      </c>
      <c r="J425" s="2">
        <f t="shared" si="7"/>
        <v>402794.5</v>
      </c>
      <c r="K425" s="2">
        <f t="shared" si="8"/>
        <v>3625150500</v>
      </c>
      <c r="L425" s="2">
        <f t="shared" si="9"/>
        <v>544175369500</v>
      </c>
    </row>
    <row r="426" spans="1:12" ht="15.75" customHeight="1" x14ac:dyDescent="0.3">
      <c r="A426" s="1" t="s">
        <v>20</v>
      </c>
      <c r="B426" s="1" t="s">
        <v>26</v>
      </c>
      <c r="C426" s="1">
        <v>13745.06</v>
      </c>
      <c r="D426" s="1">
        <v>2021</v>
      </c>
      <c r="E426" s="1">
        <f t="shared" ca="1" si="5"/>
        <v>0.78942712187416086</v>
      </c>
      <c r="F426" s="2">
        <v>150000</v>
      </c>
      <c r="G426" s="2">
        <f t="shared" si="6"/>
        <v>2061759000000</v>
      </c>
      <c r="H426" s="4">
        <v>39</v>
      </c>
      <c r="I426" s="1">
        <v>17800</v>
      </c>
      <c r="J426" s="2">
        <f t="shared" si="7"/>
        <v>536057.34</v>
      </c>
      <c r="K426" s="2">
        <f t="shared" si="8"/>
        <v>9541820652</v>
      </c>
      <c r="L426" s="2">
        <f t="shared" si="9"/>
        <v>2052217179348</v>
      </c>
    </row>
    <row r="427" spans="1:12" ht="15.75" customHeight="1" x14ac:dyDescent="0.3">
      <c r="A427" s="1" t="s">
        <v>20</v>
      </c>
      <c r="B427" s="1" t="s">
        <v>51</v>
      </c>
      <c r="C427" s="1">
        <v>7465.56</v>
      </c>
      <c r="D427" s="1">
        <v>2022</v>
      </c>
      <c r="E427" s="1">
        <f t="shared" ca="1" si="5"/>
        <v>0.70349145982202088</v>
      </c>
      <c r="F427" s="2">
        <v>150000</v>
      </c>
      <c r="G427" s="2">
        <f t="shared" si="6"/>
        <v>1119834000000</v>
      </c>
      <c r="H427" s="4">
        <v>40</v>
      </c>
      <c r="I427" s="1">
        <v>17800</v>
      </c>
      <c r="J427" s="2">
        <f t="shared" si="7"/>
        <v>298622.40000000002</v>
      </c>
      <c r="K427" s="2">
        <f t="shared" si="8"/>
        <v>5315478720</v>
      </c>
      <c r="L427" s="2">
        <f t="shared" si="9"/>
        <v>1114518521280</v>
      </c>
    </row>
    <row r="428" spans="1:12" ht="15.75" customHeight="1" x14ac:dyDescent="0.3">
      <c r="A428" s="1" t="s">
        <v>17</v>
      </c>
      <c r="B428" s="1" t="s">
        <v>29</v>
      </c>
      <c r="C428" s="1">
        <v>1412.03</v>
      </c>
      <c r="D428" s="1">
        <v>2022</v>
      </c>
      <c r="E428" s="1">
        <f t="shared" ca="1" si="5"/>
        <v>0.64877678696037644</v>
      </c>
      <c r="F428" s="2">
        <v>130000</v>
      </c>
      <c r="G428" s="2">
        <f t="shared" si="6"/>
        <v>183563900000</v>
      </c>
      <c r="H428" s="4">
        <v>37</v>
      </c>
      <c r="I428" s="1">
        <v>17000</v>
      </c>
      <c r="J428" s="2">
        <f t="shared" si="7"/>
        <v>52245.11</v>
      </c>
      <c r="K428" s="2">
        <f t="shared" si="8"/>
        <v>888166870</v>
      </c>
      <c r="L428" s="2">
        <f t="shared" si="9"/>
        <v>182675733130</v>
      </c>
    </row>
    <row r="429" spans="1:12" ht="15.75" customHeight="1" x14ac:dyDescent="0.3">
      <c r="A429" s="1" t="s">
        <v>13</v>
      </c>
      <c r="B429" s="1" t="s">
        <v>26</v>
      </c>
      <c r="C429" s="1">
        <v>13448.98</v>
      </c>
      <c r="D429" s="1">
        <v>2022</v>
      </c>
      <c r="E429" s="1">
        <f t="shared" ca="1" si="5"/>
        <v>0.70929944006072021</v>
      </c>
      <c r="F429" s="2">
        <v>50000</v>
      </c>
      <c r="G429" s="2">
        <f t="shared" si="6"/>
        <v>672449000000</v>
      </c>
      <c r="H429" s="4">
        <v>29</v>
      </c>
      <c r="I429" s="1">
        <v>9800</v>
      </c>
      <c r="J429" s="2">
        <f t="shared" si="7"/>
        <v>390020.42</v>
      </c>
      <c r="K429" s="2">
        <f t="shared" si="8"/>
        <v>3822200116</v>
      </c>
      <c r="L429" s="2">
        <f t="shared" si="9"/>
        <v>668626799884</v>
      </c>
    </row>
    <row r="430" spans="1:12" ht="15.75" customHeight="1" x14ac:dyDescent="0.3">
      <c r="A430" s="1" t="s">
        <v>17</v>
      </c>
      <c r="B430" s="1" t="s">
        <v>14</v>
      </c>
      <c r="C430" s="1">
        <v>20148.11</v>
      </c>
      <c r="D430" s="1">
        <v>2021</v>
      </c>
      <c r="E430" s="1">
        <f t="shared" ca="1" si="5"/>
        <v>0.29568599410768803</v>
      </c>
      <c r="F430" s="2">
        <v>130000</v>
      </c>
      <c r="G430" s="2">
        <f t="shared" si="6"/>
        <v>2619254300000</v>
      </c>
      <c r="H430" s="4">
        <v>32</v>
      </c>
      <c r="I430" s="1">
        <v>17000</v>
      </c>
      <c r="J430" s="2">
        <f t="shared" si="7"/>
        <v>644739.52</v>
      </c>
      <c r="K430" s="2">
        <f t="shared" si="8"/>
        <v>10960571840</v>
      </c>
      <c r="L430" s="2">
        <f t="shared" si="9"/>
        <v>2608293728160</v>
      </c>
    </row>
    <row r="431" spans="1:12" ht="15.75" customHeight="1" x14ac:dyDescent="0.3">
      <c r="A431" s="1" t="s">
        <v>20</v>
      </c>
      <c r="B431" s="1" t="s">
        <v>47</v>
      </c>
      <c r="C431" s="1">
        <v>4255.53</v>
      </c>
      <c r="D431" s="1">
        <v>2020</v>
      </c>
      <c r="E431" s="1">
        <f t="shared" ca="1" si="5"/>
        <v>0.55375898878939289</v>
      </c>
      <c r="F431" s="2">
        <v>150000</v>
      </c>
      <c r="G431" s="2">
        <f t="shared" si="6"/>
        <v>638329500000</v>
      </c>
      <c r="H431" s="4">
        <v>38</v>
      </c>
      <c r="I431" s="1">
        <v>17800</v>
      </c>
      <c r="J431" s="2">
        <f t="shared" si="7"/>
        <v>161710.13999999998</v>
      </c>
      <c r="K431" s="2">
        <f t="shared" si="8"/>
        <v>2878440491.9999995</v>
      </c>
      <c r="L431" s="2">
        <f t="shared" si="9"/>
        <v>635451059508</v>
      </c>
    </row>
    <row r="432" spans="1:12" ht="15.75" customHeight="1" x14ac:dyDescent="0.3">
      <c r="A432" s="1" t="s">
        <v>24</v>
      </c>
      <c r="B432" s="1" t="s">
        <v>21</v>
      </c>
      <c r="C432" s="1">
        <v>6789.63</v>
      </c>
      <c r="D432" s="1">
        <v>2020</v>
      </c>
      <c r="E432" s="1">
        <f t="shared" ca="1" si="5"/>
        <v>0.24488422564242363</v>
      </c>
      <c r="F432" s="2">
        <v>68000</v>
      </c>
      <c r="G432" s="2">
        <f t="shared" si="6"/>
        <v>461694840000</v>
      </c>
      <c r="H432" s="4">
        <v>31</v>
      </c>
      <c r="I432" s="1">
        <v>18000</v>
      </c>
      <c r="J432" s="2">
        <f t="shared" si="7"/>
        <v>210478.53</v>
      </c>
      <c r="K432" s="2">
        <f t="shared" si="8"/>
        <v>3788613540</v>
      </c>
      <c r="L432" s="2">
        <f t="shared" si="9"/>
        <v>457906226460</v>
      </c>
    </row>
    <row r="433" spans="1:12" ht="15.75" customHeight="1" x14ac:dyDescent="0.3">
      <c r="A433" s="1" t="s">
        <v>15</v>
      </c>
      <c r="B433" s="1" t="s">
        <v>40</v>
      </c>
      <c r="C433" s="1">
        <v>6266.03</v>
      </c>
      <c r="D433" s="1">
        <v>2022</v>
      </c>
      <c r="E433" s="1">
        <f t="shared" ca="1" si="5"/>
        <v>0.31501341722181275</v>
      </c>
      <c r="F433" s="2">
        <v>34000</v>
      </c>
      <c r="G433" s="2">
        <f t="shared" si="6"/>
        <v>213045020000</v>
      </c>
      <c r="H433" s="4">
        <v>20</v>
      </c>
      <c r="I433" s="1">
        <v>9000</v>
      </c>
      <c r="J433" s="2">
        <f t="shared" si="7"/>
        <v>125320.59999999999</v>
      </c>
      <c r="K433" s="2">
        <f t="shared" si="8"/>
        <v>1127885400</v>
      </c>
      <c r="L433" s="2">
        <f t="shared" si="9"/>
        <v>211917134600</v>
      </c>
    </row>
    <row r="434" spans="1:12" ht="15.75" customHeight="1" x14ac:dyDescent="0.3">
      <c r="A434" s="1" t="s">
        <v>24</v>
      </c>
      <c r="B434" s="1" t="s">
        <v>44</v>
      </c>
      <c r="C434" s="1">
        <v>0</v>
      </c>
      <c r="D434" s="1">
        <v>2022</v>
      </c>
      <c r="E434" s="1">
        <f t="shared" ca="1" si="5"/>
        <v>0.10013212854136821</v>
      </c>
      <c r="F434" s="2">
        <v>68000</v>
      </c>
      <c r="G434" s="2">
        <f t="shared" si="6"/>
        <v>0</v>
      </c>
      <c r="H434" s="4">
        <v>28</v>
      </c>
      <c r="I434" s="1">
        <v>18000</v>
      </c>
      <c r="J434" s="2">
        <f t="shared" si="7"/>
        <v>0</v>
      </c>
      <c r="K434" s="2">
        <f t="shared" si="8"/>
        <v>0</v>
      </c>
      <c r="L434" s="2">
        <f t="shared" si="9"/>
        <v>0</v>
      </c>
    </row>
    <row r="435" spans="1:12" ht="15.75" customHeight="1" x14ac:dyDescent="0.3">
      <c r="A435" s="1" t="s">
        <v>20</v>
      </c>
      <c r="B435" s="1" t="s">
        <v>51</v>
      </c>
      <c r="C435" s="1">
        <v>8350.17</v>
      </c>
      <c r="D435" s="1">
        <v>2020</v>
      </c>
      <c r="E435" s="1">
        <f t="shared" ca="1" si="5"/>
        <v>0.94344145686722569</v>
      </c>
      <c r="F435" s="2">
        <v>150000</v>
      </c>
      <c r="G435" s="2">
        <f t="shared" si="6"/>
        <v>1252525500000</v>
      </c>
      <c r="H435" s="4">
        <v>38</v>
      </c>
      <c r="I435" s="1">
        <v>17800</v>
      </c>
      <c r="J435" s="2">
        <f t="shared" si="7"/>
        <v>317306.46000000002</v>
      </c>
      <c r="K435" s="2">
        <f t="shared" si="8"/>
        <v>5648054988</v>
      </c>
      <c r="L435" s="2">
        <f t="shared" si="9"/>
        <v>1246877445012</v>
      </c>
    </row>
    <row r="436" spans="1:12" ht="15.75" customHeight="1" x14ac:dyDescent="0.3">
      <c r="A436" s="1" t="s">
        <v>13</v>
      </c>
      <c r="B436" s="1" t="s">
        <v>39</v>
      </c>
      <c r="C436" s="1">
        <v>1818</v>
      </c>
      <c r="D436" s="1">
        <v>2022</v>
      </c>
      <c r="E436" s="1">
        <f t="shared" ca="1" si="5"/>
        <v>0.68275423941266156</v>
      </c>
      <c r="F436" s="2">
        <v>50000</v>
      </c>
      <c r="G436" s="2">
        <f t="shared" si="6"/>
        <v>90900000000</v>
      </c>
      <c r="H436" s="4">
        <v>29</v>
      </c>
      <c r="I436" s="1">
        <v>9800</v>
      </c>
      <c r="J436" s="2">
        <f t="shared" si="7"/>
        <v>52722</v>
      </c>
      <c r="K436" s="2">
        <f t="shared" si="8"/>
        <v>516675600</v>
      </c>
      <c r="L436" s="2">
        <f t="shared" si="9"/>
        <v>90383324400</v>
      </c>
    </row>
    <row r="437" spans="1:12" ht="15.75" customHeight="1" x14ac:dyDescent="0.3">
      <c r="A437" s="1" t="s">
        <v>24</v>
      </c>
      <c r="B437" s="1" t="s">
        <v>18</v>
      </c>
      <c r="C437" s="1">
        <v>3.51</v>
      </c>
      <c r="D437" s="1">
        <v>2022</v>
      </c>
      <c r="E437" s="1">
        <f t="shared" ca="1" si="5"/>
        <v>0.87924448425224644</v>
      </c>
      <c r="F437" s="2">
        <v>68000</v>
      </c>
      <c r="G437" s="2">
        <f t="shared" si="6"/>
        <v>238680000</v>
      </c>
      <c r="H437" s="4">
        <v>28</v>
      </c>
      <c r="I437" s="1">
        <v>18000</v>
      </c>
      <c r="J437" s="2">
        <f t="shared" si="7"/>
        <v>98.28</v>
      </c>
      <c r="K437" s="2">
        <f t="shared" si="8"/>
        <v>1769040</v>
      </c>
      <c r="L437" s="2">
        <f t="shared" si="9"/>
        <v>236910960</v>
      </c>
    </row>
    <row r="438" spans="1:12" ht="15.75" customHeight="1" x14ac:dyDescent="0.3">
      <c r="A438" s="1" t="s">
        <v>24</v>
      </c>
      <c r="B438" s="1" t="s">
        <v>38</v>
      </c>
      <c r="C438" s="1">
        <v>8.86</v>
      </c>
      <c r="D438" s="1">
        <v>2021</v>
      </c>
      <c r="E438" s="1">
        <f t="shared" ca="1" si="5"/>
        <v>0.49256321235205947</v>
      </c>
      <c r="F438" s="2">
        <v>68000</v>
      </c>
      <c r="G438" s="2">
        <f t="shared" si="6"/>
        <v>602480000</v>
      </c>
      <c r="H438" s="4">
        <v>33</v>
      </c>
      <c r="I438" s="1">
        <v>18000</v>
      </c>
      <c r="J438" s="2">
        <f t="shared" si="7"/>
        <v>292.38</v>
      </c>
      <c r="K438" s="2">
        <f t="shared" si="8"/>
        <v>5262840</v>
      </c>
      <c r="L438" s="2">
        <f t="shared" si="9"/>
        <v>597217160</v>
      </c>
    </row>
    <row r="439" spans="1:12" ht="15.75" customHeight="1" x14ac:dyDescent="0.3">
      <c r="A439" s="1" t="s">
        <v>24</v>
      </c>
      <c r="B439" s="1" t="s">
        <v>37</v>
      </c>
      <c r="C439" s="1">
        <v>0</v>
      </c>
      <c r="D439" s="1">
        <v>2021</v>
      </c>
      <c r="E439" s="1">
        <f t="shared" ca="1" si="5"/>
        <v>0.42589671237328863</v>
      </c>
      <c r="F439" s="2">
        <v>68000</v>
      </c>
      <c r="G439" s="2">
        <f t="shared" si="6"/>
        <v>0</v>
      </c>
      <c r="H439" s="4">
        <v>33</v>
      </c>
      <c r="I439" s="1">
        <v>18000</v>
      </c>
      <c r="J439" s="2">
        <f t="shared" si="7"/>
        <v>0</v>
      </c>
      <c r="K439" s="2">
        <f t="shared" si="8"/>
        <v>0</v>
      </c>
      <c r="L439" s="2">
        <f t="shared" si="9"/>
        <v>0</v>
      </c>
    </row>
    <row r="440" spans="1:12" ht="15.75" customHeight="1" x14ac:dyDescent="0.3">
      <c r="A440" s="1" t="s">
        <v>15</v>
      </c>
      <c r="B440" s="1" t="s">
        <v>23</v>
      </c>
      <c r="C440" s="1">
        <v>699384.4</v>
      </c>
      <c r="D440" s="1">
        <v>2022</v>
      </c>
      <c r="E440" s="1">
        <f t="shared" ca="1" si="5"/>
        <v>0.34530289436667372</v>
      </c>
      <c r="F440" s="2">
        <v>34000</v>
      </c>
      <c r="G440" s="2">
        <f t="shared" si="6"/>
        <v>23779069600000</v>
      </c>
      <c r="H440" s="4">
        <v>20</v>
      </c>
      <c r="I440" s="1">
        <v>9000</v>
      </c>
      <c r="J440" s="2">
        <f t="shared" si="7"/>
        <v>13987688</v>
      </c>
      <c r="K440" s="2">
        <f t="shared" si="8"/>
        <v>125889192000</v>
      </c>
      <c r="L440" s="2">
        <f t="shared" si="9"/>
        <v>23653180408000</v>
      </c>
    </row>
    <row r="441" spans="1:12" ht="15.75" customHeight="1" x14ac:dyDescent="0.3">
      <c r="A441" s="1" t="s">
        <v>20</v>
      </c>
      <c r="B441" s="1" t="s">
        <v>49</v>
      </c>
      <c r="C441" s="1">
        <v>12014.96</v>
      </c>
      <c r="D441" s="1">
        <v>2022</v>
      </c>
      <c r="E441" s="1">
        <f t="shared" ca="1" si="5"/>
        <v>0.9423050898184453</v>
      </c>
      <c r="F441" s="2">
        <v>150000</v>
      </c>
      <c r="G441" s="2">
        <f t="shared" si="6"/>
        <v>1802244000000</v>
      </c>
      <c r="H441" s="4">
        <v>40</v>
      </c>
      <c r="I441" s="1">
        <v>17800</v>
      </c>
      <c r="J441" s="2">
        <f t="shared" si="7"/>
        <v>480598.39999999997</v>
      </c>
      <c r="K441" s="2">
        <f t="shared" si="8"/>
        <v>8554651519.999999</v>
      </c>
      <c r="L441" s="2">
        <f t="shared" si="9"/>
        <v>1793689348480</v>
      </c>
    </row>
    <row r="442" spans="1:12" ht="15.75" customHeight="1" x14ac:dyDescent="0.3">
      <c r="A442" s="1" t="s">
        <v>24</v>
      </c>
      <c r="B442" s="1" t="s">
        <v>45</v>
      </c>
      <c r="C442" s="1">
        <v>0</v>
      </c>
      <c r="D442" s="1">
        <v>2022</v>
      </c>
      <c r="E442" s="1">
        <f t="shared" ca="1" si="5"/>
        <v>0.90272894658813108</v>
      </c>
      <c r="F442" s="2">
        <v>68000</v>
      </c>
      <c r="G442" s="2">
        <f t="shared" si="6"/>
        <v>0</v>
      </c>
      <c r="H442" s="4">
        <v>28</v>
      </c>
      <c r="I442" s="1">
        <v>18000</v>
      </c>
      <c r="J442" s="2">
        <f t="shared" si="7"/>
        <v>0</v>
      </c>
      <c r="K442" s="2">
        <f t="shared" si="8"/>
        <v>0</v>
      </c>
      <c r="L442" s="2">
        <f t="shared" si="9"/>
        <v>0</v>
      </c>
    </row>
    <row r="443" spans="1:12" ht="15.75" customHeight="1" x14ac:dyDescent="0.3">
      <c r="A443" s="1" t="s">
        <v>24</v>
      </c>
      <c r="B443" s="1" t="s">
        <v>34</v>
      </c>
      <c r="C443" s="1">
        <v>21.24</v>
      </c>
      <c r="D443" s="1">
        <v>2022</v>
      </c>
      <c r="E443" s="1">
        <f t="shared" ca="1" si="5"/>
        <v>0.81180566496741091</v>
      </c>
      <c r="F443" s="2">
        <v>68000</v>
      </c>
      <c r="G443" s="2">
        <f t="shared" si="6"/>
        <v>1444320000</v>
      </c>
      <c r="H443" s="4">
        <v>28</v>
      </c>
      <c r="I443" s="1">
        <v>18000</v>
      </c>
      <c r="J443" s="2">
        <f t="shared" si="7"/>
        <v>594.71999999999991</v>
      </c>
      <c r="K443" s="2">
        <f t="shared" si="8"/>
        <v>10704959.999999998</v>
      </c>
      <c r="L443" s="2">
        <f t="shared" si="9"/>
        <v>1433615040</v>
      </c>
    </row>
    <row r="444" spans="1:12" ht="15.75" customHeight="1" x14ac:dyDescent="0.3">
      <c r="A444" s="1" t="s">
        <v>13</v>
      </c>
      <c r="B444" s="1" t="s">
        <v>27</v>
      </c>
      <c r="C444" s="1">
        <v>730.74</v>
      </c>
      <c r="D444" s="1">
        <v>2021</v>
      </c>
      <c r="E444" s="1">
        <f t="shared" ca="1" si="5"/>
        <v>0.22267689150597103</v>
      </c>
      <c r="F444" s="2">
        <v>50000</v>
      </c>
      <c r="G444" s="2">
        <f t="shared" si="6"/>
        <v>36537000000</v>
      </c>
      <c r="H444" s="4">
        <v>26</v>
      </c>
      <c r="I444" s="1">
        <v>9800</v>
      </c>
      <c r="J444" s="2">
        <f t="shared" si="7"/>
        <v>18999.240000000002</v>
      </c>
      <c r="K444" s="2">
        <f t="shared" si="8"/>
        <v>186192552.00000003</v>
      </c>
      <c r="L444" s="2">
        <f t="shared" si="9"/>
        <v>36350807448</v>
      </c>
    </row>
    <row r="445" spans="1:12" ht="15.75" customHeight="1" x14ac:dyDescent="0.3">
      <c r="A445" s="1" t="s">
        <v>17</v>
      </c>
      <c r="B445" s="1" t="s">
        <v>38</v>
      </c>
      <c r="C445" s="1">
        <v>236.24</v>
      </c>
      <c r="D445" s="1">
        <v>2022</v>
      </c>
      <c r="E445" s="1">
        <f t="shared" ca="1" si="5"/>
        <v>0.80598138898812244</v>
      </c>
      <c r="F445" s="2">
        <v>130000</v>
      </c>
      <c r="G445" s="2">
        <f t="shared" si="6"/>
        <v>30711200000</v>
      </c>
      <c r="H445" s="4">
        <v>37</v>
      </c>
      <c r="I445" s="1">
        <v>17000</v>
      </c>
      <c r="J445" s="2">
        <f t="shared" si="7"/>
        <v>8740.880000000001</v>
      </c>
      <c r="K445" s="2">
        <f t="shared" si="8"/>
        <v>148594960.00000003</v>
      </c>
      <c r="L445" s="2">
        <f t="shared" si="9"/>
        <v>30562605040</v>
      </c>
    </row>
    <row r="446" spans="1:12" ht="15.75" customHeight="1" x14ac:dyDescent="0.3">
      <c r="A446" s="1" t="s">
        <v>24</v>
      </c>
      <c r="B446" s="1" t="s">
        <v>49</v>
      </c>
      <c r="C446" s="1">
        <v>444.83</v>
      </c>
      <c r="D446" s="1">
        <v>2021</v>
      </c>
      <c r="E446" s="1">
        <f t="shared" ca="1" si="5"/>
        <v>0.12926251911343578</v>
      </c>
      <c r="F446" s="2">
        <v>68000</v>
      </c>
      <c r="G446" s="2">
        <f t="shared" si="6"/>
        <v>30248440000</v>
      </c>
      <c r="H446" s="4">
        <v>33</v>
      </c>
      <c r="I446" s="1">
        <v>18000</v>
      </c>
      <c r="J446" s="2">
        <f t="shared" si="7"/>
        <v>14679.39</v>
      </c>
      <c r="K446" s="2">
        <f t="shared" si="8"/>
        <v>264229020</v>
      </c>
      <c r="L446" s="2">
        <f t="shared" si="9"/>
        <v>29984210980</v>
      </c>
    </row>
    <row r="447" spans="1:12" ht="15.75" customHeight="1" x14ac:dyDescent="0.3">
      <c r="A447" s="1" t="s">
        <v>17</v>
      </c>
      <c r="B447" s="1" t="s">
        <v>22</v>
      </c>
      <c r="C447" s="1">
        <v>35.119999999999997</v>
      </c>
      <c r="D447" s="1">
        <v>2021</v>
      </c>
      <c r="E447" s="1">
        <f t="shared" ca="1" si="5"/>
        <v>0.63653272462849519</v>
      </c>
      <c r="F447" s="2">
        <v>130000</v>
      </c>
      <c r="G447" s="2">
        <f t="shared" si="6"/>
        <v>4565600000</v>
      </c>
      <c r="H447" s="4">
        <v>32</v>
      </c>
      <c r="I447" s="1">
        <v>17000</v>
      </c>
      <c r="J447" s="2">
        <f t="shared" si="7"/>
        <v>1123.8399999999999</v>
      </c>
      <c r="K447" s="2">
        <f t="shared" si="8"/>
        <v>19105280</v>
      </c>
      <c r="L447" s="2">
        <f t="shared" si="9"/>
        <v>4546494720</v>
      </c>
    </row>
    <row r="448" spans="1:12" ht="15.75" customHeight="1" x14ac:dyDescent="0.3">
      <c r="A448" s="1" t="s">
        <v>15</v>
      </c>
      <c r="B448" s="1" t="s">
        <v>22</v>
      </c>
      <c r="C448" s="1">
        <v>6160.84</v>
      </c>
      <c r="D448" s="1">
        <v>2020</v>
      </c>
      <c r="E448" s="1">
        <f t="shared" ca="1" si="5"/>
        <v>0.32675465678728366</v>
      </c>
      <c r="F448" s="2">
        <v>34000</v>
      </c>
      <c r="G448" s="2">
        <f t="shared" si="6"/>
        <v>209468560000</v>
      </c>
      <c r="H448" s="4">
        <v>25</v>
      </c>
      <c r="I448" s="1">
        <v>9000</v>
      </c>
      <c r="J448" s="2">
        <f t="shared" si="7"/>
        <v>154021</v>
      </c>
      <c r="K448" s="2">
        <f t="shared" si="8"/>
        <v>1386189000</v>
      </c>
      <c r="L448" s="2">
        <f t="shared" si="9"/>
        <v>208082371000</v>
      </c>
    </row>
    <row r="449" spans="1:12" ht="15.75" customHeight="1" x14ac:dyDescent="0.3">
      <c r="A449" s="1" t="s">
        <v>17</v>
      </c>
      <c r="B449" s="1" t="s">
        <v>51</v>
      </c>
      <c r="C449" s="1">
        <v>571.21</v>
      </c>
      <c r="D449" s="1">
        <v>2020</v>
      </c>
      <c r="E449" s="1">
        <f t="shared" ca="1" si="5"/>
        <v>0.98284535479498436</v>
      </c>
      <c r="F449" s="2">
        <v>130000</v>
      </c>
      <c r="G449" s="2">
        <f t="shared" si="6"/>
        <v>74257300000</v>
      </c>
      <c r="H449" s="4">
        <v>35</v>
      </c>
      <c r="I449" s="1">
        <v>17000</v>
      </c>
      <c r="J449" s="2">
        <f t="shared" si="7"/>
        <v>19992.350000000002</v>
      </c>
      <c r="K449" s="2">
        <f t="shared" si="8"/>
        <v>339869950.00000006</v>
      </c>
      <c r="L449" s="2">
        <f t="shared" si="9"/>
        <v>73917430050</v>
      </c>
    </row>
    <row r="450" spans="1:12" ht="15.75" customHeight="1" x14ac:dyDescent="0.3">
      <c r="A450" s="1" t="s">
        <v>13</v>
      </c>
      <c r="B450" s="1" t="s">
        <v>36</v>
      </c>
      <c r="C450" s="1">
        <v>11208.72</v>
      </c>
      <c r="D450" s="1">
        <v>2022</v>
      </c>
      <c r="E450" s="1">
        <f t="shared" ca="1" si="5"/>
        <v>0.33269807570380439</v>
      </c>
      <c r="F450" s="2">
        <v>50000</v>
      </c>
      <c r="G450" s="2">
        <f t="shared" si="6"/>
        <v>560436000000</v>
      </c>
      <c r="H450" s="4">
        <v>29</v>
      </c>
      <c r="I450" s="1">
        <v>9800</v>
      </c>
      <c r="J450" s="2">
        <f t="shared" si="7"/>
        <v>325052.88</v>
      </c>
      <c r="K450" s="2">
        <f t="shared" si="8"/>
        <v>3185518224</v>
      </c>
      <c r="L450" s="2">
        <f t="shared" si="9"/>
        <v>557250481776</v>
      </c>
    </row>
    <row r="451" spans="1:12" ht="15.75" customHeight="1" x14ac:dyDescent="0.3">
      <c r="A451" s="1" t="s">
        <v>20</v>
      </c>
      <c r="B451" s="1" t="s">
        <v>29</v>
      </c>
      <c r="C451" s="1">
        <v>7355.14</v>
      </c>
      <c r="D451" s="1">
        <v>2020</v>
      </c>
      <c r="E451" s="1">
        <f t="shared" ca="1" si="5"/>
        <v>0.78761355778916042</v>
      </c>
      <c r="F451" s="2">
        <v>150000</v>
      </c>
      <c r="G451" s="2">
        <f t="shared" si="6"/>
        <v>1103271000000</v>
      </c>
      <c r="H451" s="4">
        <v>38</v>
      </c>
      <c r="I451" s="1">
        <v>17800</v>
      </c>
      <c r="J451" s="2">
        <f t="shared" si="7"/>
        <v>279495.32</v>
      </c>
      <c r="K451" s="2">
        <f t="shared" si="8"/>
        <v>4975016696</v>
      </c>
      <c r="L451" s="2">
        <f t="shared" si="9"/>
        <v>1098295983304</v>
      </c>
    </row>
    <row r="452" spans="1:12" ht="15.75" customHeight="1" x14ac:dyDescent="0.3">
      <c r="A452" s="1" t="s">
        <v>15</v>
      </c>
      <c r="B452" s="1" t="s">
        <v>41</v>
      </c>
      <c r="C452" s="1">
        <v>2380.91</v>
      </c>
      <c r="D452" s="1">
        <v>2022</v>
      </c>
      <c r="E452" s="1">
        <f t="shared" ca="1" si="5"/>
        <v>0.98249635963249737</v>
      </c>
      <c r="F452" s="2">
        <v>34000</v>
      </c>
      <c r="G452" s="2">
        <f t="shared" si="6"/>
        <v>80950940000</v>
      </c>
      <c r="H452" s="4">
        <v>20</v>
      </c>
      <c r="I452" s="1">
        <v>9000</v>
      </c>
      <c r="J452" s="2">
        <f t="shared" si="7"/>
        <v>47618.2</v>
      </c>
      <c r="K452" s="2">
        <f t="shared" si="8"/>
        <v>428563800</v>
      </c>
      <c r="L452" s="2">
        <f t="shared" si="9"/>
        <v>80522376200</v>
      </c>
    </row>
    <row r="453" spans="1:12" ht="15.75" customHeight="1" x14ac:dyDescent="0.3">
      <c r="A453" s="1" t="s">
        <v>13</v>
      </c>
      <c r="B453" s="1" t="s">
        <v>37</v>
      </c>
      <c r="C453" s="1">
        <v>1288.5999999999999</v>
      </c>
      <c r="D453" s="1">
        <v>2021</v>
      </c>
      <c r="E453" s="1">
        <f t="shared" ca="1" si="5"/>
        <v>0.92569774392659387</v>
      </c>
      <c r="F453" s="2">
        <v>50000</v>
      </c>
      <c r="G453" s="2">
        <f t="shared" si="6"/>
        <v>64430000000</v>
      </c>
      <c r="H453" s="4">
        <v>26</v>
      </c>
      <c r="I453" s="1">
        <v>9800</v>
      </c>
      <c r="J453" s="2">
        <f t="shared" si="7"/>
        <v>33503.599999999999</v>
      </c>
      <c r="K453" s="2">
        <f t="shared" si="8"/>
        <v>328335280</v>
      </c>
      <c r="L453" s="2">
        <f t="shared" si="9"/>
        <v>64101664720</v>
      </c>
    </row>
    <row r="454" spans="1:12" ht="15.75" customHeight="1" x14ac:dyDescent="0.3">
      <c r="A454" s="1" t="s">
        <v>24</v>
      </c>
      <c r="B454" s="1" t="s">
        <v>46</v>
      </c>
      <c r="C454" s="1">
        <v>1.25</v>
      </c>
      <c r="D454" s="1">
        <v>2021</v>
      </c>
      <c r="E454" s="1">
        <f t="shared" ca="1" si="5"/>
        <v>0.7158412082046709</v>
      </c>
      <c r="F454" s="2">
        <v>68000</v>
      </c>
      <c r="G454" s="2">
        <f t="shared" si="6"/>
        <v>85000000</v>
      </c>
      <c r="H454" s="4">
        <v>33</v>
      </c>
      <c r="I454" s="1">
        <v>18000</v>
      </c>
      <c r="J454" s="2">
        <f t="shared" si="7"/>
        <v>41.25</v>
      </c>
      <c r="K454" s="2">
        <f t="shared" si="8"/>
        <v>742500</v>
      </c>
      <c r="L454" s="2">
        <f t="shared" si="9"/>
        <v>84257500</v>
      </c>
    </row>
    <row r="455" spans="1:12" ht="15.75" customHeight="1" x14ac:dyDescent="0.3">
      <c r="A455" s="1" t="s">
        <v>24</v>
      </c>
      <c r="B455" s="1" t="s">
        <v>23</v>
      </c>
      <c r="C455" s="1">
        <v>35269.620000000003</v>
      </c>
      <c r="D455" s="1">
        <v>2022</v>
      </c>
      <c r="E455" s="1">
        <f t="shared" ca="1" si="5"/>
        <v>0.51258700533852053</v>
      </c>
      <c r="F455" s="2">
        <v>68000</v>
      </c>
      <c r="G455" s="2">
        <f t="shared" si="6"/>
        <v>2398334160000</v>
      </c>
      <c r="H455" s="4">
        <v>28</v>
      </c>
      <c r="I455" s="1">
        <v>18000</v>
      </c>
      <c r="J455" s="2">
        <f t="shared" si="7"/>
        <v>987549.3600000001</v>
      </c>
      <c r="K455" s="2">
        <f t="shared" si="8"/>
        <v>17775888480</v>
      </c>
      <c r="L455" s="2">
        <f t="shared" si="9"/>
        <v>2380558271520</v>
      </c>
    </row>
    <row r="456" spans="1:12" ht="15.75" customHeight="1" x14ac:dyDescent="0.3">
      <c r="A456" s="1" t="s">
        <v>20</v>
      </c>
      <c r="B456" s="1" t="s">
        <v>30</v>
      </c>
      <c r="C456" s="1">
        <v>16381.81</v>
      </c>
      <c r="D456" s="1">
        <v>2021</v>
      </c>
      <c r="E456" s="1">
        <f t="shared" ca="1" si="5"/>
        <v>0.40937531586318354</v>
      </c>
      <c r="F456" s="2">
        <v>150000</v>
      </c>
      <c r="G456" s="2">
        <f t="shared" si="6"/>
        <v>2457271500000</v>
      </c>
      <c r="H456" s="4">
        <v>39</v>
      </c>
      <c r="I456" s="1">
        <v>17800</v>
      </c>
      <c r="J456" s="2">
        <f t="shared" si="7"/>
        <v>638890.59</v>
      </c>
      <c r="K456" s="2">
        <f t="shared" si="8"/>
        <v>11372252502</v>
      </c>
      <c r="L456" s="2">
        <f t="shared" si="9"/>
        <v>2445899247498</v>
      </c>
    </row>
    <row r="457" spans="1:12" ht="15.75" customHeight="1" x14ac:dyDescent="0.3">
      <c r="A457" s="1" t="s">
        <v>13</v>
      </c>
      <c r="B457" s="1" t="s">
        <v>28</v>
      </c>
      <c r="C457" s="1">
        <v>760.8</v>
      </c>
      <c r="D457" s="1">
        <v>2022</v>
      </c>
      <c r="E457" s="1">
        <f t="shared" ca="1" si="5"/>
        <v>0.84955689000425405</v>
      </c>
      <c r="F457" s="2">
        <v>50000</v>
      </c>
      <c r="G457" s="2">
        <f t="shared" si="6"/>
        <v>38040000000</v>
      </c>
      <c r="H457" s="4">
        <v>29</v>
      </c>
      <c r="I457" s="1">
        <v>9800</v>
      </c>
      <c r="J457" s="2">
        <f t="shared" si="7"/>
        <v>22063.199999999997</v>
      </c>
      <c r="K457" s="2">
        <f t="shared" si="8"/>
        <v>216219359.99999997</v>
      </c>
      <c r="L457" s="2">
        <f t="shared" si="9"/>
        <v>37823780640</v>
      </c>
    </row>
    <row r="458" spans="1:12" ht="15.75" customHeight="1" x14ac:dyDescent="0.3">
      <c r="A458" s="1" t="s">
        <v>20</v>
      </c>
      <c r="B458" s="1" t="s">
        <v>36</v>
      </c>
      <c r="C458" s="1">
        <v>20362.89</v>
      </c>
      <c r="D458" s="1">
        <v>2020</v>
      </c>
      <c r="E458" s="1">
        <f t="shared" ca="1" si="5"/>
        <v>0.96580728658269555</v>
      </c>
      <c r="F458" s="2">
        <v>150000</v>
      </c>
      <c r="G458" s="2">
        <f t="shared" si="6"/>
        <v>3054433500000</v>
      </c>
      <c r="H458" s="4">
        <v>38</v>
      </c>
      <c r="I458" s="1">
        <v>17800</v>
      </c>
      <c r="J458" s="2">
        <f t="shared" si="7"/>
        <v>773789.82</v>
      </c>
      <c r="K458" s="2">
        <f t="shared" si="8"/>
        <v>13773458796</v>
      </c>
      <c r="L458" s="2">
        <f t="shared" si="9"/>
        <v>3040660041204</v>
      </c>
    </row>
    <row r="459" spans="1:12" ht="15.75" customHeight="1" x14ac:dyDescent="0.3">
      <c r="A459" s="1" t="s">
        <v>17</v>
      </c>
      <c r="B459" s="1" t="s">
        <v>44</v>
      </c>
      <c r="C459" s="1">
        <v>92.93</v>
      </c>
      <c r="D459" s="1">
        <v>2022</v>
      </c>
      <c r="E459" s="1">
        <f t="shared" ca="1" si="5"/>
        <v>0.13592804497752975</v>
      </c>
      <c r="F459" s="2">
        <v>130000</v>
      </c>
      <c r="G459" s="2">
        <f t="shared" si="6"/>
        <v>12080900000</v>
      </c>
      <c r="H459" s="4">
        <v>37</v>
      </c>
      <c r="I459" s="1">
        <v>17000</v>
      </c>
      <c r="J459" s="2">
        <f t="shared" si="7"/>
        <v>3438.4100000000003</v>
      </c>
      <c r="K459" s="2">
        <f t="shared" si="8"/>
        <v>58452970.000000007</v>
      </c>
      <c r="L459" s="2">
        <f t="shared" si="9"/>
        <v>12022447030</v>
      </c>
    </row>
    <row r="460" spans="1:12" ht="15.75" customHeight="1" x14ac:dyDescent="0.3">
      <c r="A460" s="1" t="s">
        <v>13</v>
      </c>
      <c r="B460" s="1" t="s">
        <v>33</v>
      </c>
      <c r="C460" s="1">
        <v>257.79000000000002</v>
      </c>
      <c r="D460" s="1">
        <v>2022</v>
      </c>
      <c r="E460" s="1">
        <f t="shared" ca="1" si="5"/>
        <v>0.60264917624572556</v>
      </c>
      <c r="F460" s="2">
        <v>50000</v>
      </c>
      <c r="G460" s="2">
        <f t="shared" si="6"/>
        <v>12889500000.000002</v>
      </c>
      <c r="H460" s="4">
        <v>29</v>
      </c>
      <c r="I460" s="1">
        <v>9800</v>
      </c>
      <c r="J460" s="2">
        <f t="shared" si="7"/>
        <v>7475.9100000000008</v>
      </c>
      <c r="K460" s="2">
        <f t="shared" si="8"/>
        <v>73263918.000000015</v>
      </c>
      <c r="L460" s="2">
        <f t="shared" si="9"/>
        <v>12816236082.000002</v>
      </c>
    </row>
    <row r="461" spans="1:12" ht="15.75" customHeight="1" x14ac:dyDescent="0.3">
      <c r="A461" s="1" t="s">
        <v>13</v>
      </c>
      <c r="B461" s="1" t="s">
        <v>47</v>
      </c>
      <c r="C461" s="1">
        <v>9469.2099999999991</v>
      </c>
      <c r="D461" s="1">
        <v>2022</v>
      </c>
      <c r="E461" s="1">
        <f t="shared" ca="1" si="5"/>
        <v>0.67456634973988594</v>
      </c>
      <c r="F461" s="2">
        <v>50000</v>
      </c>
      <c r="G461" s="2">
        <f t="shared" si="6"/>
        <v>473460500000</v>
      </c>
      <c r="H461" s="4">
        <v>29</v>
      </c>
      <c r="I461" s="1">
        <v>9800</v>
      </c>
      <c r="J461" s="2">
        <f t="shared" si="7"/>
        <v>274607.08999999997</v>
      </c>
      <c r="K461" s="2">
        <f t="shared" si="8"/>
        <v>2691149481.9999995</v>
      </c>
      <c r="L461" s="2">
        <f t="shared" si="9"/>
        <v>470769350518</v>
      </c>
    </row>
    <row r="462" spans="1:12" ht="15.75" customHeight="1" x14ac:dyDescent="0.3">
      <c r="A462" s="1" t="s">
        <v>15</v>
      </c>
      <c r="B462" s="1" t="s">
        <v>14</v>
      </c>
      <c r="C462" s="1">
        <v>1622995.39</v>
      </c>
      <c r="D462" s="1">
        <v>2020</v>
      </c>
      <c r="E462" s="1">
        <f t="shared" ca="1" si="5"/>
        <v>0.8635482531152916</v>
      </c>
      <c r="F462" s="2">
        <v>34000</v>
      </c>
      <c r="G462" s="2">
        <f t="shared" si="6"/>
        <v>55181843260000</v>
      </c>
      <c r="H462" s="4">
        <v>25</v>
      </c>
      <c r="I462" s="1">
        <v>9000</v>
      </c>
      <c r="J462" s="2">
        <f t="shared" si="7"/>
        <v>40574884.75</v>
      </c>
      <c r="K462" s="2">
        <f t="shared" si="8"/>
        <v>365173962750</v>
      </c>
      <c r="L462" s="2">
        <f t="shared" si="9"/>
        <v>54816669297250</v>
      </c>
    </row>
    <row r="463" spans="1:12" ht="15.75" customHeight="1" x14ac:dyDescent="0.3">
      <c r="A463" s="1" t="s">
        <v>20</v>
      </c>
      <c r="B463" s="1" t="s">
        <v>38</v>
      </c>
      <c r="C463" s="1">
        <v>4113.87</v>
      </c>
      <c r="D463" s="1">
        <v>2022</v>
      </c>
      <c r="E463" s="1">
        <f t="shared" ca="1" si="5"/>
        <v>0.4965324309881135</v>
      </c>
      <c r="F463" s="2">
        <v>150000</v>
      </c>
      <c r="G463" s="2">
        <f t="shared" si="6"/>
        <v>617080500000</v>
      </c>
      <c r="H463" s="4">
        <v>40</v>
      </c>
      <c r="I463" s="1">
        <v>17800</v>
      </c>
      <c r="J463" s="2">
        <f t="shared" si="7"/>
        <v>164554.79999999999</v>
      </c>
      <c r="K463" s="2">
        <f t="shared" si="8"/>
        <v>2929075440</v>
      </c>
      <c r="L463" s="2">
        <f t="shared" si="9"/>
        <v>614151424560</v>
      </c>
    </row>
    <row r="464" spans="1:12" ht="15.75" customHeight="1" x14ac:dyDescent="0.3">
      <c r="A464" s="1" t="s">
        <v>13</v>
      </c>
      <c r="B464" s="1" t="s">
        <v>25</v>
      </c>
      <c r="C464" s="1">
        <v>5134.17</v>
      </c>
      <c r="D464" s="1">
        <v>2021</v>
      </c>
      <c r="E464" s="1">
        <f t="shared" ca="1" si="5"/>
        <v>0.9550057587680133</v>
      </c>
      <c r="F464" s="2">
        <v>50000</v>
      </c>
      <c r="G464" s="2">
        <f t="shared" si="6"/>
        <v>256708500000</v>
      </c>
      <c r="H464" s="4">
        <v>26</v>
      </c>
      <c r="I464" s="1">
        <v>9800</v>
      </c>
      <c r="J464" s="2">
        <f t="shared" si="7"/>
        <v>133488.42000000001</v>
      </c>
      <c r="K464" s="2">
        <f t="shared" si="8"/>
        <v>1308186516.0000002</v>
      </c>
      <c r="L464" s="2">
        <f t="shared" si="9"/>
        <v>255400313484</v>
      </c>
    </row>
    <row r="465" spans="1:12" ht="15.75" customHeight="1" x14ac:dyDescent="0.3">
      <c r="A465" s="1" t="s">
        <v>24</v>
      </c>
      <c r="B465" s="1" t="s">
        <v>49</v>
      </c>
      <c r="C465" s="1">
        <v>453.46</v>
      </c>
      <c r="D465" s="1">
        <v>2022</v>
      </c>
      <c r="E465" s="1">
        <f t="shared" ca="1" si="5"/>
        <v>0.78303831808460733</v>
      </c>
      <c r="F465" s="2">
        <v>68000</v>
      </c>
      <c r="G465" s="2">
        <f t="shared" si="6"/>
        <v>30835280000</v>
      </c>
      <c r="H465" s="4">
        <v>28</v>
      </c>
      <c r="I465" s="1">
        <v>18000</v>
      </c>
      <c r="J465" s="2">
        <f t="shared" si="7"/>
        <v>12696.88</v>
      </c>
      <c r="K465" s="2">
        <f t="shared" si="8"/>
        <v>228543840</v>
      </c>
      <c r="L465" s="2">
        <f t="shared" si="9"/>
        <v>30606736160</v>
      </c>
    </row>
    <row r="466" spans="1:12" ht="15.75" customHeight="1" x14ac:dyDescent="0.3">
      <c r="A466" s="1" t="s">
        <v>17</v>
      </c>
      <c r="B466" s="1" t="s">
        <v>35</v>
      </c>
      <c r="C466" s="1">
        <v>239.13</v>
      </c>
      <c r="D466" s="1">
        <v>2020</v>
      </c>
      <c r="E466" s="1">
        <f t="shared" ca="1" si="5"/>
        <v>0.34501006230062659</v>
      </c>
      <c r="F466" s="2">
        <v>130000</v>
      </c>
      <c r="G466" s="2">
        <f t="shared" si="6"/>
        <v>31086900000</v>
      </c>
      <c r="H466" s="4">
        <v>35</v>
      </c>
      <c r="I466" s="1">
        <v>17000</v>
      </c>
      <c r="J466" s="2">
        <f t="shared" si="7"/>
        <v>8369.5499999999993</v>
      </c>
      <c r="K466" s="2">
        <f t="shared" si="8"/>
        <v>142282350</v>
      </c>
      <c r="L466" s="2">
        <f t="shared" si="9"/>
        <v>30944617650</v>
      </c>
    </row>
    <row r="467" spans="1:12" ht="15.75" customHeight="1" x14ac:dyDescent="0.3">
      <c r="A467" s="1" t="s">
        <v>24</v>
      </c>
      <c r="B467" s="1" t="s">
        <v>19</v>
      </c>
      <c r="C467" s="1">
        <v>0.27</v>
      </c>
      <c r="D467" s="1">
        <v>2022</v>
      </c>
      <c r="E467" s="1">
        <f t="shared" ca="1" si="5"/>
        <v>0.44795488869885336</v>
      </c>
      <c r="F467" s="2">
        <v>68000</v>
      </c>
      <c r="G467" s="2">
        <f t="shared" si="6"/>
        <v>18360000</v>
      </c>
      <c r="H467" s="4">
        <v>28</v>
      </c>
      <c r="I467" s="1">
        <v>18000</v>
      </c>
      <c r="J467" s="2">
        <f t="shared" si="7"/>
        <v>7.5600000000000005</v>
      </c>
      <c r="K467" s="2">
        <f t="shared" si="8"/>
        <v>136080</v>
      </c>
      <c r="L467" s="2">
        <f t="shared" si="9"/>
        <v>18223920</v>
      </c>
    </row>
    <row r="468" spans="1:12" ht="15.75" customHeight="1" x14ac:dyDescent="0.3">
      <c r="A468" s="1" t="s">
        <v>15</v>
      </c>
      <c r="B468" s="1" t="s">
        <v>31</v>
      </c>
      <c r="C468" s="1">
        <v>69078.649999999994</v>
      </c>
      <c r="D468" s="1">
        <v>2022</v>
      </c>
      <c r="E468" s="1">
        <f t="shared" ca="1" si="5"/>
        <v>0.56017172285233641</v>
      </c>
      <c r="F468" s="2">
        <v>34000</v>
      </c>
      <c r="G468" s="2">
        <f t="shared" si="6"/>
        <v>2348674100000</v>
      </c>
      <c r="H468" s="4">
        <v>20</v>
      </c>
      <c r="I468" s="1">
        <v>9000</v>
      </c>
      <c r="J468" s="2">
        <f t="shared" si="7"/>
        <v>1381573</v>
      </c>
      <c r="K468" s="2">
        <f t="shared" si="8"/>
        <v>12434157000</v>
      </c>
      <c r="L468" s="2">
        <f t="shared" si="9"/>
        <v>2336239943000</v>
      </c>
    </row>
    <row r="469" spans="1:12" ht="15.75" customHeight="1" x14ac:dyDescent="0.3">
      <c r="A469" s="1" t="s">
        <v>15</v>
      </c>
      <c r="B469" s="1" t="s">
        <v>29</v>
      </c>
      <c r="C469" s="1">
        <v>168303</v>
      </c>
      <c r="D469" s="1">
        <v>2022</v>
      </c>
      <c r="E469" s="1">
        <f t="shared" ca="1" si="5"/>
        <v>0.96473621711293456</v>
      </c>
      <c r="F469" s="2">
        <v>34000</v>
      </c>
      <c r="G469" s="2">
        <f t="shared" si="6"/>
        <v>5722302000000</v>
      </c>
      <c r="H469" s="4">
        <v>20</v>
      </c>
      <c r="I469" s="1">
        <v>9000</v>
      </c>
      <c r="J469" s="2">
        <f t="shared" si="7"/>
        <v>3366060</v>
      </c>
      <c r="K469" s="2">
        <f t="shared" si="8"/>
        <v>30294540000</v>
      </c>
      <c r="L469" s="2">
        <f t="shared" si="9"/>
        <v>5692007460000</v>
      </c>
    </row>
    <row r="470" spans="1:12" ht="15.75" customHeight="1" x14ac:dyDescent="0.3">
      <c r="A470" s="1" t="s">
        <v>13</v>
      </c>
      <c r="B470" s="1" t="s">
        <v>46</v>
      </c>
      <c r="C470" s="1">
        <v>3640.94</v>
      </c>
      <c r="D470" s="1">
        <v>2020</v>
      </c>
      <c r="E470" s="1">
        <f t="shared" ca="1" si="5"/>
        <v>0.56037161082370535</v>
      </c>
      <c r="F470" s="2">
        <v>50000</v>
      </c>
      <c r="G470" s="2">
        <f t="shared" si="6"/>
        <v>182047000000</v>
      </c>
      <c r="H470" s="4">
        <v>27</v>
      </c>
      <c r="I470" s="1">
        <v>9800</v>
      </c>
      <c r="J470" s="2">
        <f t="shared" si="7"/>
        <v>98305.38</v>
      </c>
      <c r="K470" s="2">
        <f t="shared" si="8"/>
        <v>963392724</v>
      </c>
      <c r="L470" s="2">
        <f t="shared" si="9"/>
        <v>181083607276</v>
      </c>
    </row>
    <row r="471" spans="1:12" ht="15.75" customHeight="1" x14ac:dyDescent="0.3">
      <c r="A471" s="1" t="s">
        <v>17</v>
      </c>
      <c r="B471" s="1" t="s">
        <v>25</v>
      </c>
      <c r="C471" s="1">
        <v>205.08</v>
      </c>
      <c r="D471" s="1">
        <v>2021</v>
      </c>
      <c r="E471" s="1">
        <f t="shared" ca="1" si="5"/>
        <v>0.48036722480674277</v>
      </c>
      <c r="F471" s="2">
        <v>130000</v>
      </c>
      <c r="G471" s="2">
        <f t="shared" si="6"/>
        <v>26660400000</v>
      </c>
      <c r="H471" s="4">
        <v>32</v>
      </c>
      <c r="I471" s="1">
        <v>17000</v>
      </c>
      <c r="J471" s="2">
        <f t="shared" si="7"/>
        <v>6562.56</v>
      </c>
      <c r="K471" s="2">
        <f t="shared" si="8"/>
        <v>111563520</v>
      </c>
      <c r="L471" s="2">
        <f t="shared" si="9"/>
        <v>26548836480</v>
      </c>
    </row>
    <row r="472" spans="1:12" ht="15.75" customHeight="1" x14ac:dyDescent="0.3">
      <c r="A472" s="1" t="s">
        <v>20</v>
      </c>
      <c r="B472" s="1" t="s">
        <v>31</v>
      </c>
      <c r="C472" s="1">
        <v>5760.1</v>
      </c>
      <c r="D472" s="1">
        <v>2022</v>
      </c>
      <c r="E472" s="1">
        <f t="shared" ca="1" si="5"/>
        <v>0.71963047236642574</v>
      </c>
      <c r="F472" s="2">
        <v>150000</v>
      </c>
      <c r="G472" s="2">
        <f t="shared" si="6"/>
        <v>864015000000</v>
      </c>
      <c r="H472" s="4">
        <v>40</v>
      </c>
      <c r="I472" s="1">
        <v>17800</v>
      </c>
      <c r="J472" s="2">
        <f t="shared" si="7"/>
        <v>230404</v>
      </c>
      <c r="K472" s="2">
        <f t="shared" si="8"/>
        <v>4101191200</v>
      </c>
      <c r="L472" s="2">
        <f t="shared" si="9"/>
        <v>859913808800</v>
      </c>
    </row>
    <row r="473" spans="1:12" ht="15.75" customHeight="1" x14ac:dyDescent="0.3">
      <c r="A473" s="1" t="s">
        <v>15</v>
      </c>
      <c r="B473" s="1" t="s">
        <v>42</v>
      </c>
      <c r="C473" s="1">
        <v>42451.199999999997</v>
      </c>
      <c r="D473" s="1">
        <v>2020</v>
      </c>
      <c r="E473" s="1">
        <f t="shared" ca="1" si="5"/>
        <v>0.37893182108514845</v>
      </c>
      <c r="F473" s="2">
        <v>34000</v>
      </c>
      <c r="G473" s="2">
        <f t="shared" si="6"/>
        <v>1443340800000</v>
      </c>
      <c r="H473" s="4">
        <v>25</v>
      </c>
      <c r="I473" s="1">
        <v>9000</v>
      </c>
      <c r="J473" s="2">
        <f t="shared" si="7"/>
        <v>1061280</v>
      </c>
      <c r="K473" s="2">
        <f t="shared" si="8"/>
        <v>9551520000</v>
      </c>
      <c r="L473" s="2">
        <f t="shared" si="9"/>
        <v>1433789280000</v>
      </c>
    </row>
    <row r="474" spans="1:12" ht="15.75" customHeight="1" x14ac:dyDescent="0.3">
      <c r="A474" s="1" t="s">
        <v>24</v>
      </c>
      <c r="B474" s="1" t="s">
        <v>38</v>
      </c>
      <c r="C474" s="1">
        <v>0.56999999999999995</v>
      </c>
      <c r="D474" s="1">
        <v>2020</v>
      </c>
      <c r="E474" s="1">
        <f t="shared" ca="1" si="5"/>
        <v>0.40309592010381279</v>
      </c>
      <c r="F474" s="2">
        <v>68000</v>
      </c>
      <c r="G474" s="2">
        <f t="shared" si="6"/>
        <v>38760000</v>
      </c>
      <c r="H474" s="4">
        <v>31</v>
      </c>
      <c r="I474" s="1">
        <v>18000</v>
      </c>
      <c r="J474" s="2">
        <f t="shared" si="7"/>
        <v>17.669999999999998</v>
      </c>
      <c r="K474" s="2">
        <f t="shared" si="8"/>
        <v>318059.99999999994</v>
      </c>
      <c r="L474" s="2">
        <f t="shared" si="9"/>
        <v>38441940</v>
      </c>
    </row>
    <row r="475" spans="1:12" ht="15.75" customHeight="1" x14ac:dyDescent="0.3">
      <c r="A475" s="1" t="s">
        <v>20</v>
      </c>
      <c r="B475" s="1" t="s">
        <v>27</v>
      </c>
      <c r="C475" s="1">
        <v>2986.1</v>
      </c>
      <c r="D475" s="1">
        <v>2020</v>
      </c>
      <c r="E475" s="1">
        <f t="shared" ca="1" si="5"/>
        <v>0.40150345216197958</v>
      </c>
      <c r="F475" s="2">
        <v>150000</v>
      </c>
      <c r="G475" s="2">
        <f t="shared" si="6"/>
        <v>447915000000</v>
      </c>
      <c r="H475" s="4">
        <v>38</v>
      </c>
      <c r="I475" s="1">
        <v>17800</v>
      </c>
      <c r="J475" s="2">
        <f t="shared" si="7"/>
        <v>113471.8</v>
      </c>
      <c r="K475" s="2">
        <f t="shared" si="8"/>
        <v>2019798040</v>
      </c>
      <c r="L475" s="2">
        <f t="shared" si="9"/>
        <v>445895201960</v>
      </c>
    </row>
    <row r="476" spans="1:12" ht="15.75" customHeight="1" x14ac:dyDescent="0.3">
      <c r="A476" s="1" t="s">
        <v>17</v>
      </c>
      <c r="B476" s="1" t="s">
        <v>49</v>
      </c>
      <c r="C476" s="1">
        <v>2046.43</v>
      </c>
      <c r="D476" s="1">
        <v>2022</v>
      </c>
      <c r="E476" s="1">
        <f t="shared" ca="1" si="5"/>
        <v>0.48616687784067292</v>
      </c>
      <c r="F476" s="2">
        <v>130000</v>
      </c>
      <c r="G476" s="2">
        <f t="shared" si="6"/>
        <v>266035900000</v>
      </c>
      <c r="H476" s="4">
        <v>37</v>
      </c>
      <c r="I476" s="1">
        <v>17000</v>
      </c>
      <c r="J476" s="2">
        <f t="shared" si="7"/>
        <v>75717.91</v>
      </c>
      <c r="K476" s="2">
        <f t="shared" si="8"/>
        <v>1287204470</v>
      </c>
      <c r="L476" s="2">
        <f t="shared" si="9"/>
        <v>264748695530</v>
      </c>
    </row>
    <row r="477" spans="1:12" ht="15.75" customHeight="1" x14ac:dyDescent="0.3">
      <c r="A477" s="1" t="s">
        <v>17</v>
      </c>
      <c r="B477" s="1" t="s">
        <v>46</v>
      </c>
      <c r="C477" s="1">
        <v>384.48</v>
      </c>
      <c r="D477" s="1">
        <v>2020</v>
      </c>
      <c r="E477" s="1">
        <f t="shared" ca="1" si="5"/>
        <v>0.6744051993541802</v>
      </c>
      <c r="F477" s="2">
        <v>130000</v>
      </c>
      <c r="G477" s="2">
        <f t="shared" si="6"/>
        <v>49982400000</v>
      </c>
      <c r="H477" s="4">
        <v>35</v>
      </c>
      <c r="I477" s="1">
        <v>17000</v>
      </c>
      <c r="J477" s="2">
        <f t="shared" si="7"/>
        <v>13456.800000000001</v>
      </c>
      <c r="K477" s="2">
        <f t="shared" si="8"/>
        <v>228765600.00000003</v>
      </c>
      <c r="L477" s="2">
        <f t="shared" si="9"/>
        <v>49753634400</v>
      </c>
    </row>
    <row r="478" spans="1:12" ht="15.75" customHeight="1" x14ac:dyDescent="0.3">
      <c r="A478" s="1" t="s">
        <v>13</v>
      </c>
      <c r="B478" s="1" t="s">
        <v>40</v>
      </c>
      <c r="C478" s="1">
        <v>2348.84</v>
      </c>
      <c r="D478" s="1">
        <v>2022</v>
      </c>
      <c r="E478" s="1">
        <f t="shared" ca="1" si="5"/>
        <v>0.21015650985149992</v>
      </c>
      <c r="F478" s="2">
        <v>50000</v>
      </c>
      <c r="G478" s="2">
        <f t="shared" si="6"/>
        <v>117442000000</v>
      </c>
      <c r="H478" s="4">
        <v>29</v>
      </c>
      <c r="I478" s="1">
        <v>9800</v>
      </c>
      <c r="J478" s="2">
        <f t="shared" si="7"/>
        <v>68116.36</v>
      </c>
      <c r="K478" s="2">
        <f t="shared" si="8"/>
        <v>667540328</v>
      </c>
      <c r="L478" s="2">
        <f t="shared" si="9"/>
        <v>116774459672</v>
      </c>
    </row>
    <row r="479" spans="1:12" ht="15.75" customHeight="1" x14ac:dyDescent="0.3">
      <c r="A479" s="1" t="s">
        <v>20</v>
      </c>
      <c r="B479" s="1" t="s">
        <v>36</v>
      </c>
      <c r="C479" s="1">
        <v>17933.48</v>
      </c>
      <c r="D479" s="1">
        <v>2021</v>
      </c>
      <c r="E479" s="1">
        <f t="shared" ca="1" si="5"/>
        <v>4.7054678583589138E-2</v>
      </c>
      <c r="F479" s="2">
        <v>150000</v>
      </c>
      <c r="G479" s="2">
        <f t="shared" si="6"/>
        <v>2690022000000</v>
      </c>
      <c r="H479" s="4">
        <v>39</v>
      </c>
      <c r="I479" s="1">
        <v>17800</v>
      </c>
      <c r="J479" s="2">
        <f t="shared" si="7"/>
        <v>699405.72</v>
      </c>
      <c r="K479" s="2">
        <f t="shared" si="8"/>
        <v>12449421816</v>
      </c>
      <c r="L479" s="2">
        <f t="shared" si="9"/>
        <v>2677572578184</v>
      </c>
    </row>
    <row r="480" spans="1:12" ht="15.75" customHeight="1" x14ac:dyDescent="0.3">
      <c r="A480" s="1" t="s">
        <v>17</v>
      </c>
      <c r="B480" s="1" t="s">
        <v>23</v>
      </c>
      <c r="C480" s="1">
        <v>2499.98</v>
      </c>
      <c r="D480" s="1">
        <v>2021</v>
      </c>
      <c r="E480" s="1">
        <f t="shared" ca="1" si="5"/>
        <v>8.2251279399863098E-3</v>
      </c>
      <c r="F480" s="2">
        <v>130000</v>
      </c>
      <c r="G480" s="2">
        <f t="shared" si="6"/>
        <v>324997400000</v>
      </c>
      <c r="H480" s="4">
        <v>32</v>
      </c>
      <c r="I480" s="1">
        <v>17000</v>
      </c>
      <c r="J480" s="2">
        <f t="shared" si="7"/>
        <v>79999.360000000001</v>
      </c>
      <c r="K480" s="2">
        <f t="shared" si="8"/>
        <v>1359989120</v>
      </c>
      <c r="L480" s="2">
        <f t="shared" si="9"/>
        <v>323637410880</v>
      </c>
    </row>
    <row r="481" spans="1:12" ht="15.75" customHeight="1" x14ac:dyDescent="0.3">
      <c r="A481" s="1" t="s">
        <v>20</v>
      </c>
      <c r="B481" s="1" t="s">
        <v>32</v>
      </c>
      <c r="C481" s="1">
        <v>1390.39</v>
      </c>
      <c r="D481" s="1">
        <v>2022</v>
      </c>
      <c r="E481" s="1">
        <f t="shared" ca="1" si="5"/>
        <v>0.48947403017664837</v>
      </c>
      <c r="F481" s="2">
        <v>150000</v>
      </c>
      <c r="G481" s="2">
        <f t="shared" si="6"/>
        <v>208558500000</v>
      </c>
      <c r="H481" s="4">
        <v>40</v>
      </c>
      <c r="I481" s="1">
        <v>17800</v>
      </c>
      <c r="J481" s="2">
        <f t="shared" si="7"/>
        <v>55615.600000000006</v>
      </c>
      <c r="K481" s="2">
        <f t="shared" si="8"/>
        <v>989957680.00000012</v>
      </c>
      <c r="L481" s="2">
        <f t="shared" si="9"/>
        <v>207568542320</v>
      </c>
    </row>
    <row r="482" spans="1:12" ht="15.75" customHeight="1" x14ac:dyDescent="0.3">
      <c r="A482" s="1" t="s">
        <v>20</v>
      </c>
      <c r="B482" s="1" t="s">
        <v>30</v>
      </c>
      <c r="C482" s="1">
        <v>7240.68</v>
      </c>
      <c r="D482" s="1">
        <v>2020</v>
      </c>
      <c r="E482" s="1">
        <f t="shared" ca="1" si="5"/>
        <v>1.4592866359548817E-2</v>
      </c>
      <c r="F482" s="2">
        <v>150000</v>
      </c>
      <c r="G482" s="2">
        <f t="shared" si="6"/>
        <v>1086102000000</v>
      </c>
      <c r="H482" s="4">
        <v>38</v>
      </c>
      <c r="I482" s="1">
        <v>17800</v>
      </c>
      <c r="J482" s="2">
        <f t="shared" si="7"/>
        <v>275145.84000000003</v>
      </c>
      <c r="K482" s="2">
        <f t="shared" si="8"/>
        <v>4897595952</v>
      </c>
      <c r="L482" s="2">
        <f t="shared" si="9"/>
        <v>1081204404048</v>
      </c>
    </row>
    <row r="483" spans="1:12" ht="15.75" customHeight="1" x14ac:dyDescent="0.3">
      <c r="A483" s="1" t="s">
        <v>20</v>
      </c>
      <c r="B483" s="1" t="s">
        <v>33</v>
      </c>
      <c r="C483" s="1">
        <v>808.02</v>
      </c>
      <c r="D483" s="1">
        <v>2021</v>
      </c>
      <c r="E483" s="1">
        <f t="shared" ca="1" si="5"/>
        <v>0.74705542422308802</v>
      </c>
      <c r="F483" s="2">
        <v>150000</v>
      </c>
      <c r="G483" s="2">
        <f t="shared" si="6"/>
        <v>121203000000</v>
      </c>
      <c r="H483" s="4">
        <v>39</v>
      </c>
      <c r="I483" s="1">
        <v>17800</v>
      </c>
      <c r="J483" s="2">
        <f t="shared" si="7"/>
        <v>31512.78</v>
      </c>
      <c r="K483" s="2">
        <f t="shared" si="8"/>
        <v>560927484</v>
      </c>
      <c r="L483" s="2">
        <f t="shared" si="9"/>
        <v>120642072516</v>
      </c>
    </row>
    <row r="484" spans="1:12" ht="15.75" customHeight="1" x14ac:dyDescent="0.3">
      <c r="A484" s="1" t="s">
        <v>17</v>
      </c>
      <c r="B484" s="1" t="s">
        <v>30</v>
      </c>
      <c r="C484" s="1">
        <v>788.54</v>
      </c>
      <c r="D484" s="1">
        <v>2022</v>
      </c>
      <c r="E484" s="1">
        <f t="shared" ca="1" si="5"/>
        <v>0.90422845836199262</v>
      </c>
      <c r="F484" s="2">
        <v>130000</v>
      </c>
      <c r="G484" s="2">
        <f t="shared" si="6"/>
        <v>102510200000</v>
      </c>
      <c r="H484" s="4">
        <v>37</v>
      </c>
      <c r="I484" s="1">
        <v>17000</v>
      </c>
      <c r="J484" s="2">
        <f t="shared" si="7"/>
        <v>29175.98</v>
      </c>
      <c r="K484" s="2">
        <f t="shared" si="8"/>
        <v>495991660</v>
      </c>
      <c r="L484" s="2">
        <f t="shared" si="9"/>
        <v>102014208340</v>
      </c>
    </row>
    <row r="485" spans="1:12" ht="15.75" customHeight="1" x14ac:dyDescent="0.3">
      <c r="A485" s="1" t="s">
        <v>24</v>
      </c>
      <c r="B485" s="1" t="s">
        <v>27</v>
      </c>
      <c r="C485" s="1">
        <v>0</v>
      </c>
      <c r="D485" s="1">
        <v>2020</v>
      </c>
      <c r="E485" s="1">
        <f t="shared" ca="1" si="5"/>
        <v>0.84661508874939451</v>
      </c>
      <c r="F485" s="2">
        <v>68000</v>
      </c>
      <c r="G485" s="2">
        <f t="shared" si="6"/>
        <v>0</v>
      </c>
      <c r="H485" s="4">
        <v>31</v>
      </c>
      <c r="I485" s="1">
        <v>18000</v>
      </c>
      <c r="J485" s="2">
        <f t="shared" si="7"/>
        <v>0</v>
      </c>
      <c r="K485" s="2">
        <f t="shared" si="8"/>
        <v>0</v>
      </c>
      <c r="L485" s="2">
        <f t="shared" si="9"/>
        <v>0</v>
      </c>
    </row>
    <row r="486" spans="1:12" ht="15.75" customHeight="1" x14ac:dyDescent="0.3">
      <c r="A486" s="1" t="s">
        <v>20</v>
      </c>
      <c r="B486" s="1" t="s">
        <v>31</v>
      </c>
      <c r="C486" s="1">
        <v>4638.46</v>
      </c>
      <c r="D486" s="1">
        <v>2021</v>
      </c>
      <c r="E486" s="1">
        <f t="shared" ca="1" si="5"/>
        <v>0.778923777435923</v>
      </c>
      <c r="F486" s="2">
        <v>150000</v>
      </c>
      <c r="G486" s="2">
        <f t="shared" si="6"/>
        <v>695769000000</v>
      </c>
      <c r="H486" s="4">
        <v>39</v>
      </c>
      <c r="I486" s="1">
        <v>17800</v>
      </c>
      <c r="J486" s="2">
        <f t="shared" si="7"/>
        <v>180899.94</v>
      </c>
      <c r="K486" s="2">
        <f t="shared" si="8"/>
        <v>3220018932</v>
      </c>
      <c r="L486" s="2">
        <f t="shared" si="9"/>
        <v>692548981068</v>
      </c>
    </row>
    <row r="487" spans="1:12" ht="15.75" customHeight="1" x14ac:dyDescent="0.3">
      <c r="A487" s="1" t="s">
        <v>15</v>
      </c>
      <c r="B487" s="1" t="s">
        <v>38</v>
      </c>
      <c r="C487" s="1">
        <v>8396.73</v>
      </c>
      <c r="D487" s="1">
        <v>2021</v>
      </c>
      <c r="E487" s="1">
        <f t="shared" ca="1" si="5"/>
        <v>0.86257009811647489</v>
      </c>
      <c r="F487" s="2">
        <v>34000</v>
      </c>
      <c r="G487" s="2">
        <f t="shared" si="6"/>
        <v>285488820000</v>
      </c>
      <c r="H487" s="4">
        <v>21</v>
      </c>
      <c r="I487" s="1">
        <v>9000</v>
      </c>
      <c r="J487" s="2">
        <f t="shared" si="7"/>
        <v>176331.33</v>
      </c>
      <c r="K487" s="2">
        <f t="shared" si="8"/>
        <v>1586981970</v>
      </c>
      <c r="L487" s="2">
        <f t="shared" si="9"/>
        <v>283901838030</v>
      </c>
    </row>
    <row r="488" spans="1:12" ht="15.75" customHeight="1" x14ac:dyDescent="0.3">
      <c r="A488" s="1" t="s">
        <v>13</v>
      </c>
      <c r="B488" s="1" t="s">
        <v>36</v>
      </c>
      <c r="C488" s="1">
        <v>11048.9</v>
      </c>
      <c r="D488" s="1">
        <v>2021</v>
      </c>
      <c r="E488" s="1">
        <f t="shared" ca="1" si="5"/>
        <v>4.9720283477083682E-2</v>
      </c>
      <c r="F488" s="2">
        <v>50000</v>
      </c>
      <c r="G488" s="2">
        <f t="shared" si="6"/>
        <v>552445000000</v>
      </c>
      <c r="H488" s="4">
        <v>26</v>
      </c>
      <c r="I488" s="1">
        <v>9800</v>
      </c>
      <c r="J488" s="2">
        <f t="shared" si="7"/>
        <v>287271.39999999997</v>
      </c>
      <c r="K488" s="2">
        <f t="shared" si="8"/>
        <v>2815259719.9999995</v>
      </c>
      <c r="L488" s="2">
        <f t="shared" si="9"/>
        <v>549629740280</v>
      </c>
    </row>
    <row r="489" spans="1:12" ht="15.75" customHeight="1" x14ac:dyDescent="0.3">
      <c r="A489" s="1" t="s">
        <v>20</v>
      </c>
      <c r="B489" s="1" t="s">
        <v>38</v>
      </c>
      <c r="C489" s="1">
        <v>3998.77</v>
      </c>
      <c r="D489" s="1">
        <v>2020</v>
      </c>
      <c r="E489" s="1">
        <f t="shared" ca="1" si="5"/>
        <v>0.69691252417895766</v>
      </c>
      <c r="F489" s="2">
        <v>150000</v>
      </c>
      <c r="G489" s="2">
        <f t="shared" si="6"/>
        <v>599815500000</v>
      </c>
      <c r="H489" s="4">
        <v>38</v>
      </c>
      <c r="I489" s="1">
        <v>17800</v>
      </c>
      <c r="J489" s="2">
        <f t="shared" si="7"/>
        <v>151953.26</v>
      </c>
      <c r="K489" s="2">
        <f t="shared" si="8"/>
        <v>2704768028</v>
      </c>
      <c r="L489" s="2">
        <f t="shared" si="9"/>
        <v>597110731972</v>
      </c>
    </row>
    <row r="490" spans="1:12" ht="15.75" customHeight="1" x14ac:dyDescent="0.3">
      <c r="A490" s="1" t="s">
        <v>17</v>
      </c>
      <c r="B490" s="1" t="s">
        <v>21</v>
      </c>
      <c r="C490" s="1">
        <v>12500.94</v>
      </c>
      <c r="D490" s="1">
        <v>2020</v>
      </c>
      <c r="E490" s="1">
        <f t="shared" ca="1" si="5"/>
        <v>0.42670462229224515</v>
      </c>
      <c r="F490" s="2">
        <v>130000</v>
      </c>
      <c r="G490" s="2">
        <f t="shared" si="6"/>
        <v>1625122200000</v>
      </c>
      <c r="H490" s="4">
        <v>35</v>
      </c>
      <c r="I490" s="1">
        <v>17000</v>
      </c>
      <c r="J490" s="2">
        <f t="shared" si="7"/>
        <v>437532.9</v>
      </c>
      <c r="K490" s="2">
        <f t="shared" si="8"/>
        <v>7438059300</v>
      </c>
      <c r="L490" s="2">
        <f t="shared" si="9"/>
        <v>1617684140700</v>
      </c>
    </row>
    <row r="491" spans="1:12" ht="15.75" customHeight="1" x14ac:dyDescent="0.3">
      <c r="A491" s="1" t="s">
        <v>24</v>
      </c>
      <c r="B491" s="1" t="s">
        <v>51</v>
      </c>
      <c r="C491" s="1">
        <v>4.76</v>
      </c>
      <c r="D491" s="1">
        <v>2021</v>
      </c>
      <c r="E491" s="1">
        <f t="shared" ca="1" si="5"/>
        <v>0.35353314982529205</v>
      </c>
      <c r="F491" s="2">
        <v>68000</v>
      </c>
      <c r="G491" s="2">
        <f t="shared" si="6"/>
        <v>323680000</v>
      </c>
      <c r="H491" s="4">
        <v>33</v>
      </c>
      <c r="I491" s="1">
        <v>18000</v>
      </c>
      <c r="J491" s="2">
        <f t="shared" si="7"/>
        <v>157.07999999999998</v>
      </c>
      <c r="K491" s="2">
        <f t="shared" si="8"/>
        <v>2827439.9999999995</v>
      </c>
      <c r="L491" s="2">
        <f t="shared" si="9"/>
        <v>320852560</v>
      </c>
    </row>
    <row r="492" spans="1:12" ht="15.75" customHeight="1" x14ac:dyDescent="0.3">
      <c r="A492" s="1" t="s">
        <v>17</v>
      </c>
      <c r="B492" s="1" t="s">
        <v>33</v>
      </c>
      <c r="C492" s="1">
        <v>175.32</v>
      </c>
      <c r="D492" s="1">
        <v>2021</v>
      </c>
      <c r="E492" s="1">
        <f t="shared" ca="1" si="5"/>
        <v>0.5679283656056443</v>
      </c>
      <c r="F492" s="2">
        <v>130000</v>
      </c>
      <c r="G492" s="2">
        <f t="shared" si="6"/>
        <v>22791600000</v>
      </c>
      <c r="H492" s="4">
        <v>32</v>
      </c>
      <c r="I492" s="1">
        <v>17000</v>
      </c>
      <c r="J492" s="2">
        <f t="shared" si="7"/>
        <v>5610.24</v>
      </c>
      <c r="K492" s="2">
        <f t="shared" si="8"/>
        <v>95374080</v>
      </c>
      <c r="L492" s="2">
        <f t="shared" si="9"/>
        <v>22696225920</v>
      </c>
    </row>
    <row r="493" spans="1:12" ht="15.75" customHeight="1" x14ac:dyDescent="0.3">
      <c r="A493" s="1" t="s">
        <v>15</v>
      </c>
      <c r="B493" s="1" t="s">
        <v>50</v>
      </c>
      <c r="C493" s="1">
        <v>197993.17</v>
      </c>
      <c r="D493" s="1">
        <v>2021</v>
      </c>
      <c r="E493" s="1">
        <f t="shared" ca="1" si="5"/>
        <v>0.30114770715802974</v>
      </c>
      <c r="F493" s="2">
        <v>34000</v>
      </c>
      <c r="G493" s="2">
        <f t="shared" si="6"/>
        <v>6731767780000</v>
      </c>
      <c r="H493" s="4">
        <v>21</v>
      </c>
      <c r="I493" s="1">
        <v>9000</v>
      </c>
      <c r="J493" s="2">
        <f t="shared" si="7"/>
        <v>4157856.5700000003</v>
      </c>
      <c r="K493" s="2">
        <f t="shared" si="8"/>
        <v>37420709130</v>
      </c>
      <c r="L493" s="2">
        <f t="shared" si="9"/>
        <v>6694347070870</v>
      </c>
    </row>
    <row r="494" spans="1:12" ht="15.75" customHeight="1" x14ac:dyDescent="0.3">
      <c r="A494" s="1" t="s">
        <v>24</v>
      </c>
      <c r="B494" s="1" t="s">
        <v>23</v>
      </c>
      <c r="C494" s="1">
        <v>33328.379999999997</v>
      </c>
      <c r="D494" s="1">
        <v>2020</v>
      </c>
      <c r="E494" s="1">
        <f t="shared" ca="1" si="5"/>
        <v>1.4261214671311695E-3</v>
      </c>
      <c r="F494" s="2">
        <v>68000</v>
      </c>
      <c r="G494" s="2">
        <f t="shared" si="6"/>
        <v>2266329839999.9995</v>
      </c>
      <c r="H494" s="4">
        <v>31</v>
      </c>
      <c r="I494" s="1">
        <v>18000</v>
      </c>
      <c r="J494" s="2">
        <f t="shared" si="7"/>
        <v>1033179.7799999999</v>
      </c>
      <c r="K494" s="2">
        <f t="shared" si="8"/>
        <v>18597236040</v>
      </c>
      <c r="L494" s="2">
        <f t="shared" si="9"/>
        <v>2247732603959.9995</v>
      </c>
    </row>
    <row r="495" spans="1:12" ht="15.75" customHeight="1" x14ac:dyDescent="0.3">
      <c r="A495" s="1" t="s">
        <v>15</v>
      </c>
      <c r="B495" s="1" t="s">
        <v>48</v>
      </c>
      <c r="C495" s="1">
        <v>84160.59</v>
      </c>
      <c r="D495" s="1">
        <v>2021</v>
      </c>
      <c r="E495" s="1">
        <f t="shared" ca="1" si="5"/>
        <v>0.72585899505158058</v>
      </c>
      <c r="F495" s="2">
        <v>34000</v>
      </c>
      <c r="G495" s="2">
        <f t="shared" si="6"/>
        <v>2861460060000</v>
      </c>
      <c r="H495" s="4">
        <v>21</v>
      </c>
      <c r="I495" s="1">
        <v>9000</v>
      </c>
      <c r="J495" s="2">
        <f t="shared" si="7"/>
        <v>1767372.39</v>
      </c>
      <c r="K495" s="2">
        <f t="shared" si="8"/>
        <v>15906351510</v>
      </c>
      <c r="L495" s="2">
        <f t="shared" si="9"/>
        <v>2845553708490</v>
      </c>
    </row>
    <row r="496" spans="1:12" ht="15.75" customHeight="1" x14ac:dyDescent="0.3">
      <c r="A496" s="1" t="s">
        <v>17</v>
      </c>
      <c r="B496" s="1" t="s">
        <v>45</v>
      </c>
      <c r="C496" s="1">
        <v>149.86000000000001</v>
      </c>
      <c r="D496" s="1">
        <v>2021</v>
      </c>
      <c r="E496" s="1">
        <f t="shared" ca="1" si="5"/>
        <v>0.10637082054877778</v>
      </c>
      <c r="F496" s="2">
        <v>130000</v>
      </c>
      <c r="G496" s="2">
        <f t="shared" si="6"/>
        <v>19481800000</v>
      </c>
      <c r="H496" s="4">
        <v>32</v>
      </c>
      <c r="I496" s="1">
        <v>17000</v>
      </c>
      <c r="J496" s="2">
        <f t="shared" si="7"/>
        <v>4795.5200000000004</v>
      </c>
      <c r="K496" s="2">
        <f t="shared" si="8"/>
        <v>81523840</v>
      </c>
      <c r="L496" s="2">
        <f t="shared" si="9"/>
        <v>19400276160</v>
      </c>
    </row>
    <row r="497" spans="1:12" ht="15.75" customHeight="1" x14ac:dyDescent="0.3">
      <c r="A497" s="1" t="s">
        <v>17</v>
      </c>
      <c r="B497" s="1" t="s">
        <v>45</v>
      </c>
      <c r="C497" s="1">
        <v>151.80000000000001</v>
      </c>
      <c r="D497" s="1">
        <v>2022</v>
      </c>
      <c r="E497" s="1">
        <f t="shared" ca="1" si="5"/>
        <v>0.17477853891211093</v>
      </c>
      <c r="F497" s="2">
        <v>130000</v>
      </c>
      <c r="G497" s="2">
        <f t="shared" si="6"/>
        <v>19734000000</v>
      </c>
      <c r="H497" s="4">
        <v>37</v>
      </c>
      <c r="I497" s="1">
        <v>17000</v>
      </c>
      <c r="J497" s="2">
        <f t="shared" si="7"/>
        <v>5616.6</v>
      </c>
      <c r="K497" s="2">
        <f t="shared" si="8"/>
        <v>95482200</v>
      </c>
      <c r="L497" s="2">
        <f t="shared" si="9"/>
        <v>19638517800</v>
      </c>
    </row>
    <row r="498" spans="1:12" ht="15.75" customHeight="1" x14ac:dyDescent="0.3">
      <c r="A498" s="1" t="s">
        <v>17</v>
      </c>
      <c r="B498" s="1" t="s">
        <v>38</v>
      </c>
      <c r="C498" s="1">
        <v>231.62</v>
      </c>
      <c r="D498" s="1">
        <v>2021</v>
      </c>
      <c r="E498" s="1">
        <f t="shared" ca="1" si="5"/>
        <v>0.30494471318320526</v>
      </c>
      <c r="F498" s="2">
        <v>130000</v>
      </c>
      <c r="G498" s="2">
        <f t="shared" si="6"/>
        <v>30110600000</v>
      </c>
      <c r="H498" s="4">
        <v>32</v>
      </c>
      <c r="I498" s="1">
        <v>17000</v>
      </c>
      <c r="J498" s="2">
        <f t="shared" si="7"/>
        <v>7411.84</v>
      </c>
      <c r="K498" s="2">
        <f t="shared" si="8"/>
        <v>126001280</v>
      </c>
      <c r="L498" s="2">
        <f t="shared" si="9"/>
        <v>29984598720</v>
      </c>
    </row>
    <row r="499" spans="1:12" ht="15.75" customHeight="1" x14ac:dyDescent="0.3">
      <c r="A499" s="1" t="s">
        <v>13</v>
      </c>
      <c r="B499" s="1" t="s">
        <v>51</v>
      </c>
      <c r="C499" s="1">
        <v>2519.2199999999998</v>
      </c>
      <c r="D499" s="1">
        <v>2022</v>
      </c>
      <c r="E499" s="1">
        <f t="shared" ca="1" si="5"/>
        <v>0.39097189070396898</v>
      </c>
      <c r="F499" s="2">
        <v>50000</v>
      </c>
      <c r="G499" s="2">
        <f t="shared" si="6"/>
        <v>125961000000</v>
      </c>
      <c r="H499" s="4">
        <v>29</v>
      </c>
      <c r="I499" s="1">
        <v>9800</v>
      </c>
      <c r="J499" s="2">
        <f t="shared" si="7"/>
        <v>73057.37999999999</v>
      </c>
      <c r="K499" s="2">
        <f t="shared" si="8"/>
        <v>715962323.99999988</v>
      </c>
      <c r="L499" s="2">
        <f t="shared" si="9"/>
        <v>125245037676</v>
      </c>
    </row>
    <row r="500" spans="1:12" ht="15.75" customHeight="1" x14ac:dyDescent="0.3">
      <c r="A500" s="1" t="s">
        <v>15</v>
      </c>
      <c r="B500" s="1" t="s">
        <v>46</v>
      </c>
      <c r="C500" s="1">
        <v>70496.3</v>
      </c>
      <c r="D500" s="1">
        <v>2020</v>
      </c>
      <c r="E500" s="1">
        <f t="shared" ca="1" si="5"/>
        <v>0.89408459059077272</v>
      </c>
      <c r="F500" s="2">
        <v>34000</v>
      </c>
      <c r="G500" s="2">
        <f t="shared" si="6"/>
        <v>2396874200000</v>
      </c>
      <c r="H500" s="4">
        <v>25</v>
      </c>
      <c r="I500" s="1">
        <v>9000</v>
      </c>
      <c r="J500" s="2">
        <f t="shared" si="7"/>
        <v>1762407.5</v>
      </c>
      <c r="K500" s="2">
        <f t="shared" si="8"/>
        <v>15861667500</v>
      </c>
      <c r="L500" s="2">
        <f t="shared" si="9"/>
        <v>2381012532500</v>
      </c>
    </row>
    <row r="501" spans="1:12" ht="15.75" customHeight="1" x14ac:dyDescent="0.3">
      <c r="A501" s="1" t="s">
        <v>20</v>
      </c>
      <c r="B501" s="1" t="s">
        <v>32</v>
      </c>
      <c r="C501" s="1">
        <v>1453.07</v>
      </c>
      <c r="D501" s="1">
        <v>2021</v>
      </c>
      <c r="E501" s="1">
        <f t="shared" ca="1" si="5"/>
        <v>8.0485107213139839E-2</v>
      </c>
      <c r="F501" s="2">
        <v>150000</v>
      </c>
      <c r="G501" s="2">
        <f t="shared" si="6"/>
        <v>217960500000</v>
      </c>
      <c r="H501" s="4">
        <v>39</v>
      </c>
      <c r="I501" s="1">
        <v>17800</v>
      </c>
      <c r="J501" s="2">
        <f t="shared" si="7"/>
        <v>56669.729999999996</v>
      </c>
      <c r="K501" s="2">
        <f t="shared" si="8"/>
        <v>1008721193.9999999</v>
      </c>
      <c r="L501" s="2">
        <f t="shared" si="9"/>
        <v>216951778806</v>
      </c>
    </row>
    <row r="502" spans="1:12" ht="15.75" customHeight="1" x14ac:dyDescent="0.3">
      <c r="A502" s="1" t="s">
        <v>15</v>
      </c>
      <c r="B502" s="1" t="s">
        <v>41</v>
      </c>
      <c r="C502" s="1">
        <v>7000.82</v>
      </c>
      <c r="D502" s="1">
        <v>2020</v>
      </c>
      <c r="E502" s="1">
        <f t="shared" ca="1" si="5"/>
        <v>0.73633014677440778</v>
      </c>
      <c r="F502" s="2">
        <v>34000</v>
      </c>
      <c r="G502" s="2">
        <f t="shared" si="6"/>
        <v>238027880000</v>
      </c>
      <c r="H502" s="4">
        <v>25</v>
      </c>
      <c r="I502" s="1">
        <v>9000</v>
      </c>
      <c r="J502" s="2">
        <f t="shared" si="7"/>
        <v>175020.5</v>
      </c>
      <c r="K502" s="2">
        <f t="shared" si="8"/>
        <v>1575184500</v>
      </c>
      <c r="L502" s="2">
        <f t="shared" si="9"/>
        <v>236452695500</v>
      </c>
    </row>
    <row r="503" spans="1:12" ht="15.75" customHeight="1" x14ac:dyDescent="0.3">
      <c r="A503" s="1" t="s">
        <v>24</v>
      </c>
      <c r="B503" s="1" t="s">
        <v>41</v>
      </c>
      <c r="C503" s="1">
        <v>19.88</v>
      </c>
      <c r="D503" s="1">
        <v>2020</v>
      </c>
      <c r="E503" s="1">
        <f t="shared" ca="1" si="5"/>
        <v>0.16422729087753563</v>
      </c>
      <c r="F503" s="2">
        <v>68000</v>
      </c>
      <c r="G503" s="2">
        <f t="shared" si="6"/>
        <v>1351840000</v>
      </c>
      <c r="H503" s="4">
        <v>31</v>
      </c>
      <c r="I503" s="1">
        <v>18000</v>
      </c>
      <c r="J503" s="2">
        <f t="shared" si="7"/>
        <v>616.28</v>
      </c>
      <c r="K503" s="2">
        <f t="shared" si="8"/>
        <v>11093040</v>
      </c>
      <c r="L503" s="2">
        <f t="shared" si="9"/>
        <v>1340746960</v>
      </c>
    </row>
    <row r="504" spans="1:12" ht="15.75" customHeight="1" x14ac:dyDescent="0.3">
      <c r="A504" s="1" t="s">
        <v>20</v>
      </c>
      <c r="B504" s="1" t="s">
        <v>50</v>
      </c>
      <c r="C504" s="1">
        <v>14930.42</v>
      </c>
      <c r="D504" s="1">
        <v>2020</v>
      </c>
      <c r="E504" s="1">
        <f t="shared" ca="1" si="5"/>
        <v>0.97227331361547764</v>
      </c>
      <c r="F504" s="2">
        <v>150000</v>
      </c>
      <c r="G504" s="2">
        <f t="shared" si="6"/>
        <v>2239563000000</v>
      </c>
      <c r="H504" s="4">
        <v>38</v>
      </c>
      <c r="I504" s="1">
        <v>17800</v>
      </c>
      <c r="J504" s="2">
        <f t="shared" si="7"/>
        <v>567355.96</v>
      </c>
      <c r="K504" s="2">
        <f t="shared" si="8"/>
        <v>10098936088</v>
      </c>
      <c r="L504" s="2">
        <f t="shared" si="9"/>
        <v>2229464063912</v>
      </c>
    </row>
    <row r="505" spans="1:12" ht="15.75" customHeight="1" x14ac:dyDescent="0.3">
      <c r="A505" s="1" t="s">
        <v>20</v>
      </c>
      <c r="B505" s="1" t="s">
        <v>14</v>
      </c>
      <c r="C505" s="1">
        <v>91027.74</v>
      </c>
      <c r="D505" s="1">
        <v>2020</v>
      </c>
      <c r="E505" s="1">
        <f t="shared" ca="1" si="5"/>
        <v>0.85439244257495506</v>
      </c>
      <c r="F505" s="2">
        <v>150000</v>
      </c>
      <c r="G505" s="2">
        <f t="shared" si="6"/>
        <v>13654161000000</v>
      </c>
      <c r="H505" s="4">
        <v>38</v>
      </c>
      <c r="I505" s="1">
        <v>17800</v>
      </c>
      <c r="J505" s="2">
        <f t="shared" si="7"/>
        <v>3459054.12</v>
      </c>
      <c r="K505" s="2">
        <f t="shared" si="8"/>
        <v>61571163336</v>
      </c>
      <c r="L505" s="2">
        <f t="shared" si="9"/>
        <v>13592589836664</v>
      </c>
    </row>
    <row r="506" spans="1:12" ht="15.75" customHeight="1" x14ac:dyDescent="0.3">
      <c r="A506" s="1" t="s">
        <v>24</v>
      </c>
      <c r="B506" s="1" t="s">
        <v>42</v>
      </c>
      <c r="C506" s="1">
        <v>2.57</v>
      </c>
      <c r="D506" s="1">
        <v>2022</v>
      </c>
      <c r="E506" s="1">
        <f t="shared" ca="1" si="5"/>
        <v>0.97932796677906664</v>
      </c>
      <c r="F506" s="2">
        <v>68000</v>
      </c>
      <c r="G506" s="2">
        <f t="shared" si="6"/>
        <v>174760000</v>
      </c>
      <c r="H506" s="4">
        <v>28</v>
      </c>
      <c r="I506" s="1">
        <v>18000</v>
      </c>
      <c r="J506" s="2">
        <f t="shared" si="7"/>
        <v>71.959999999999994</v>
      </c>
      <c r="K506" s="2">
        <f t="shared" si="8"/>
        <v>1295280</v>
      </c>
      <c r="L506" s="2">
        <f t="shared" si="9"/>
        <v>173464720</v>
      </c>
    </row>
    <row r="507" spans="1:12" ht="15.75" customHeight="1" x14ac:dyDescent="0.3">
      <c r="A507" s="1" t="s">
        <v>17</v>
      </c>
      <c r="B507" s="1" t="s">
        <v>29</v>
      </c>
      <c r="C507" s="1">
        <v>1398.33</v>
      </c>
      <c r="D507" s="1">
        <v>2021</v>
      </c>
      <c r="E507" s="1">
        <f t="shared" ca="1" si="5"/>
        <v>0.93519289921275439</v>
      </c>
      <c r="F507" s="2">
        <v>130000</v>
      </c>
      <c r="G507" s="2">
        <f t="shared" si="6"/>
        <v>181782900000</v>
      </c>
      <c r="H507" s="4">
        <v>32</v>
      </c>
      <c r="I507" s="1">
        <v>17000</v>
      </c>
      <c r="J507" s="2">
        <f t="shared" si="7"/>
        <v>44746.559999999998</v>
      </c>
      <c r="K507" s="2">
        <f t="shared" si="8"/>
        <v>760691520</v>
      </c>
      <c r="L507" s="2">
        <f t="shared" si="9"/>
        <v>181022208480</v>
      </c>
    </row>
    <row r="508" spans="1:12" ht="15.75" customHeight="1" x14ac:dyDescent="0.3">
      <c r="A508" s="1" t="s">
        <v>13</v>
      </c>
      <c r="B508" s="1" t="s">
        <v>47</v>
      </c>
      <c r="C508" s="1">
        <v>8374.02</v>
      </c>
      <c r="D508" s="1">
        <v>2020</v>
      </c>
      <c r="E508" s="1">
        <f t="shared" ca="1" si="5"/>
        <v>0.44723208402943926</v>
      </c>
      <c r="F508" s="2">
        <v>50000</v>
      </c>
      <c r="G508" s="2">
        <f t="shared" si="6"/>
        <v>418701000000</v>
      </c>
      <c r="H508" s="4">
        <v>27</v>
      </c>
      <c r="I508" s="1">
        <v>9800</v>
      </c>
      <c r="J508" s="2">
        <f t="shared" si="7"/>
        <v>226098.54</v>
      </c>
      <c r="K508" s="2">
        <f t="shared" si="8"/>
        <v>2215765692</v>
      </c>
      <c r="L508" s="2">
        <f t="shared" si="9"/>
        <v>416485234308</v>
      </c>
    </row>
    <row r="509" spans="1:12" ht="15.75" customHeight="1" x14ac:dyDescent="0.3">
      <c r="A509" s="1" t="s">
        <v>15</v>
      </c>
      <c r="B509" s="1" t="s">
        <v>39</v>
      </c>
      <c r="C509" s="1">
        <v>191589.11</v>
      </c>
      <c r="D509" s="1">
        <v>2021</v>
      </c>
      <c r="E509" s="1">
        <f t="shared" ca="1" si="5"/>
        <v>0.97739045686990111</v>
      </c>
      <c r="F509" s="2">
        <v>34000</v>
      </c>
      <c r="G509" s="2">
        <f t="shared" si="6"/>
        <v>6514029740000</v>
      </c>
      <c r="H509" s="4">
        <v>21</v>
      </c>
      <c r="I509" s="1">
        <v>9000</v>
      </c>
      <c r="J509" s="2">
        <f t="shared" si="7"/>
        <v>4023371.3099999996</v>
      </c>
      <c r="K509" s="2">
        <f t="shared" si="8"/>
        <v>36210341790</v>
      </c>
      <c r="L509" s="2">
        <f t="shared" si="9"/>
        <v>6477819398210</v>
      </c>
    </row>
    <row r="510" spans="1:12" ht="15.75" customHeight="1" x14ac:dyDescent="0.3">
      <c r="A510" s="1" t="s">
        <v>24</v>
      </c>
      <c r="B510" s="1" t="s">
        <v>42</v>
      </c>
      <c r="C510" s="1">
        <v>2.4500000000000002</v>
      </c>
      <c r="D510" s="1">
        <v>2021</v>
      </c>
      <c r="E510" s="1">
        <f t="shared" ca="1" si="5"/>
        <v>0.17385869710764934</v>
      </c>
      <c r="F510" s="2">
        <v>68000</v>
      </c>
      <c r="G510" s="2">
        <f t="shared" si="6"/>
        <v>166600000</v>
      </c>
      <c r="H510" s="4">
        <v>33</v>
      </c>
      <c r="I510" s="1">
        <v>18000</v>
      </c>
      <c r="J510" s="2">
        <f t="shared" si="7"/>
        <v>80.850000000000009</v>
      </c>
      <c r="K510" s="2">
        <f t="shared" si="8"/>
        <v>1455300.0000000002</v>
      </c>
      <c r="L510" s="2">
        <f t="shared" si="9"/>
        <v>165144700</v>
      </c>
    </row>
    <row r="511" spans="1:12" ht="15.75" customHeight="1" x14ac:dyDescent="0.3">
      <c r="A511" s="1" t="s">
        <v>15</v>
      </c>
      <c r="B511" s="1" t="s">
        <v>16</v>
      </c>
      <c r="C511" s="1">
        <v>2164.63</v>
      </c>
      <c r="D511" s="1">
        <v>2022</v>
      </c>
      <c r="E511" s="1">
        <f t="shared" ca="1" si="5"/>
        <v>0.83553203050856228</v>
      </c>
      <c r="F511" s="2">
        <v>34000</v>
      </c>
      <c r="G511" s="2">
        <f t="shared" si="6"/>
        <v>73597420000</v>
      </c>
      <c r="H511" s="4">
        <v>20</v>
      </c>
      <c r="I511" s="1">
        <v>9000</v>
      </c>
      <c r="J511" s="2">
        <f t="shared" si="7"/>
        <v>43292.600000000006</v>
      </c>
      <c r="K511" s="2">
        <f t="shared" si="8"/>
        <v>389633400.00000006</v>
      </c>
      <c r="L511" s="2">
        <f t="shared" si="9"/>
        <v>73207786600</v>
      </c>
    </row>
    <row r="512" spans="1:12" ht="15.75" customHeight="1" x14ac:dyDescent="0.3">
      <c r="A512" s="1" t="s">
        <v>24</v>
      </c>
      <c r="B512" s="1" t="s">
        <v>26</v>
      </c>
      <c r="C512" s="1">
        <v>499.33</v>
      </c>
      <c r="D512" s="1">
        <v>2020</v>
      </c>
      <c r="E512" s="1">
        <f t="shared" ca="1" si="5"/>
        <v>0.41651250246088112</v>
      </c>
      <c r="F512" s="2">
        <v>68000</v>
      </c>
      <c r="G512" s="2">
        <f t="shared" si="6"/>
        <v>33954440000</v>
      </c>
      <c r="H512" s="4">
        <v>31</v>
      </c>
      <c r="I512" s="1">
        <v>18000</v>
      </c>
      <c r="J512" s="2">
        <f t="shared" si="7"/>
        <v>15479.23</v>
      </c>
      <c r="K512" s="2">
        <f t="shared" si="8"/>
        <v>278626140</v>
      </c>
      <c r="L512" s="2">
        <f t="shared" si="9"/>
        <v>33675813860</v>
      </c>
    </row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2:L512" xr:uid="{00000000-0009-0000-0000-000001000000}"/>
  <mergeCells count="1">
    <mergeCell ref="A1:L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zoomScale="70" zoomScaleNormal="70" workbookViewId="0">
      <selection activeCell="T70" sqref="T70"/>
    </sheetView>
  </sheetViews>
  <sheetFormatPr defaultColWidth="11.19921875" defaultRowHeight="15" customHeight="1" x14ac:dyDescent="0.3"/>
  <cols>
    <col min="1" max="1" width="17.09765625" customWidth="1"/>
    <col min="2" max="2" width="14.3984375" customWidth="1"/>
    <col min="3" max="3" width="20.5" customWidth="1"/>
    <col min="4" max="4" width="14.3984375" customWidth="1"/>
    <col min="5" max="5" width="13.59765625" customWidth="1"/>
    <col min="6" max="6" width="17" customWidth="1"/>
    <col min="7" max="7" width="11.59765625" customWidth="1"/>
    <col min="8" max="26" width="8.5" customWidth="1"/>
  </cols>
  <sheetData>
    <row r="1" spans="1:7" ht="15.75" customHeight="1" x14ac:dyDescent="0.3">
      <c r="A1" s="5" t="s">
        <v>52</v>
      </c>
      <c r="B1" s="5"/>
      <c r="C1" s="5"/>
      <c r="D1" s="5"/>
      <c r="E1" s="5"/>
      <c r="F1" s="5"/>
      <c r="G1" s="5"/>
    </row>
    <row r="2" spans="1:7" ht="15.75" customHeight="1" x14ac:dyDescent="0.3">
      <c r="A2" s="6" t="s">
        <v>1</v>
      </c>
      <c r="B2" s="6" t="s">
        <v>53</v>
      </c>
      <c r="C2" s="5"/>
      <c r="D2" s="5"/>
      <c r="E2" s="5"/>
      <c r="F2" s="5"/>
      <c r="G2" s="5"/>
    </row>
    <row r="3" spans="1:7" ht="15.75" customHeight="1" x14ac:dyDescent="0.3">
      <c r="A3" s="1" t="s">
        <v>15</v>
      </c>
      <c r="B3" s="7">
        <f>SUMIF('Main Data'!$A$3:$A$512,'Data Visualization'!A3,'Main Data'!$C$3:$C$512)</f>
        <v>15863907.080000006</v>
      </c>
      <c r="C3" s="5"/>
      <c r="D3" s="5"/>
      <c r="E3" s="5"/>
      <c r="F3" s="5"/>
      <c r="G3" s="5"/>
    </row>
    <row r="4" spans="1:7" ht="15.75" customHeight="1" x14ac:dyDescent="0.3">
      <c r="A4" s="1" t="s">
        <v>24</v>
      </c>
      <c r="B4" s="7">
        <f>SUMIF('Main Data'!$A$3:$A$512,'Data Visualization'!A4,'Main Data'!$C$3:$C$512)</f>
        <v>159541.05000000002</v>
      </c>
      <c r="C4" s="5"/>
      <c r="D4" s="5"/>
      <c r="E4" s="5"/>
      <c r="F4" s="5"/>
      <c r="G4" s="5"/>
    </row>
    <row r="5" spans="1:7" ht="15.75" customHeight="1" x14ac:dyDescent="0.3">
      <c r="A5" s="1" t="s">
        <v>13</v>
      </c>
      <c r="B5" s="7">
        <f>SUMIF('Main Data'!$A$3:$A$512,'Data Visualization'!A5,'Main Data'!$C$3:$C$512)</f>
        <v>1048954.7899999998</v>
      </c>
      <c r="C5" s="5"/>
      <c r="D5" s="5"/>
      <c r="E5" s="5"/>
      <c r="F5" s="5"/>
      <c r="G5" s="5"/>
    </row>
    <row r="6" spans="1:7" ht="15.75" customHeight="1" x14ac:dyDescent="0.3">
      <c r="A6" s="1" t="s">
        <v>17</v>
      </c>
      <c r="B6" s="7">
        <f>SUMIF('Main Data'!$A$3:$A$512,'Data Visualization'!A6,'Main Data'!$C$3:$C$512)</f>
        <v>185099.77999999997</v>
      </c>
      <c r="C6" s="5"/>
      <c r="D6" s="5"/>
      <c r="E6" s="5"/>
      <c r="F6" s="5"/>
      <c r="G6" s="5"/>
    </row>
    <row r="7" spans="1:7" ht="15.75" customHeight="1" x14ac:dyDescent="0.3">
      <c r="A7" s="1" t="s">
        <v>20</v>
      </c>
      <c r="B7" s="7">
        <f>SUMIF('Main Data'!$A$3:$A$512,'Data Visualization'!A7,'Main Data'!$C$3:$C$512)</f>
        <v>1440143.8200000003</v>
      </c>
      <c r="C7" s="5"/>
      <c r="D7" s="5"/>
      <c r="E7" s="5"/>
      <c r="F7" s="5"/>
      <c r="G7" s="5"/>
    </row>
    <row r="8" spans="1:7" ht="15.75" customHeight="1" x14ac:dyDescent="0.3">
      <c r="A8" s="5"/>
      <c r="B8" s="5"/>
      <c r="C8" s="5"/>
      <c r="D8" s="5"/>
      <c r="E8" s="5"/>
      <c r="F8" s="5"/>
      <c r="G8" s="5"/>
    </row>
    <row r="9" spans="1:7" ht="15.75" customHeight="1" x14ac:dyDescent="0.3">
      <c r="A9" s="5" t="s">
        <v>54</v>
      </c>
      <c r="B9" s="5"/>
      <c r="C9" s="5"/>
      <c r="D9" s="5"/>
      <c r="E9" s="5"/>
      <c r="F9" s="5"/>
      <c r="G9" s="5"/>
    </row>
    <row r="10" spans="1:7" ht="15.75" customHeight="1" x14ac:dyDescent="0.3">
      <c r="A10" s="8" t="s">
        <v>55</v>
      </c>
      <c r="B10" s="8" t="s">
        <v>53</v>
      </c>
      <c r="C10" s="5"/>
      <c r="D10" s="5"/>
      <c r="E10" s="5"/>
      <c r="F10" s="5"/>
      <c r="G10" s="5"/>
    </row>
    <row r="11" spans="1:7" ht="15.75" customHeight="1" x14ac:dyDescent="0.3">
      <c r="A11" s="9">
        <v>2020</v>
      </c>
      <c r="B11" s="7">
        <f>SUMIFS('Main Data'!$C$3:$C$512,'Main Data'!$D$3:$D$512,'Data Visualization'!A11,'Main Data'!$A$3:$A$512,"Daging Sapi")</f>
        <v>453418.45</v>
      </c>
      <c r="C11" s="5"/>
      <c r="D11" s="5"/>
      <c r="E11" s="5"/>
      <c r="F11" s="5"/>
      <c r="G11" s="5"/>
    </row>
    <row r="12" spans="1:7" ht="15.75" customHeight="1" x14ac:dyDescent="0.3">
      <c r="A12" s="9">
        <v>2021</v>
      </c>
      <c r="B12" s="7">
        <f>SUMIFS('Main Data'!$C$3:$C$512,'Main Data'!$D$3:$D$512,'Data Visualization'!A12,'Main Data'!$A$3:$A$512,"Daging Sapi")</f>
        <v>487802.20000000007</v>
      </c>
      <c r="C12" s="5"/>
      <c r="D12" s="5"/>
      <c r="E12" s="5"/>
      <c r="F12" s="5"/>
      <c r="G12" s="5"/>
    </row>
    <row r="13" spans="1:7" ht="15.75" customHeight="1" x14ac:dyDescent="0.3">
      <c r="A13" s="9">
        <v>2022</v>
      </c>
      <c r="B13" s="7">
        <f>SUMIFS('Main Data'!$C$3:$C$512,'Main Data'!$D$3:$D$512,'Data Visualization'!A13,'Main Data'!$A$3:$A$512,"Daging Sapi")</f>
        <v>498923.17000000004</v>
      </c>
      <c r="C13" s="5"/>
      <c r="D13" s="5"/>
      <c r="E13" s="5"/>
      <c r="F13" s="5"/>
      <c r="G13" s="5"/>
    </row>
    <row r="14" spans="1:7" ht="15.75" customHeight="1" x14ac:dyDescent="0.3">
      <c r="A14" s="5"/>
      <c r="B14" s="5"/>
      <c r="C14" s="5"/>
      <c r="D14" s="5"/>
      <c r="E14" s="5"/>
      <c r="F14" s="5"/>
      <c r="G14" s="5"/>
    </row>
    <row r="15" spans="1:7" ht="15.75" customHeight="1" x14ac:dyDescent="0.3">
      <c r="A15" s="5" t="s">
        <v>56</v>
      </c>
      <c r="B15" s="5"/>
      <c r="C15" s="5"/>
      <c r="D15" s="5"/>
      <c r="E15" s="5"/>
      <c r="F15" s="5"/>
      <c r="G15" s="5"/>
    </row>
    <row r="16" spans="1:7" ht="15.75" customHeight="1" x14ac:dyDescent="0.3">
      <c r="A16" s="6" t="s">
        <v>55</v>
      </c>
      <c r="B16" s="6" t="s">
        <v>57</v>
      </c>
      <c r="C16" s="5"/>
      <c r="D16" s="5"/>
      <c r="E16" s="5"/>
      <c r="F16" s="5"/>
      <c r="G16" s="5"/>
    </row>
    <row r="17" spans="1:7" ht="15.75" customHeight="1" x14ac:dyDescent="0.3">
      <c r="A17" s="1" t="s">
        <v>58</v>
      </c>
      <c r="B17" s="7">
        <f>SUMIFS('Main Data'!$C$3:$C$512,'Main Data'!$B$3:$B$512,'Data Visualization'!A17,'Main Data'!$A$3:$A$512,"Daging Ayam",'Main Data'!$D$3:$D$512,2022)</f>
        <v>15843.11</v>
      </c>
      <c r="C17" s="5"/>
      <c r="D17" s="5"/>
      <c r="E17" s="5"/>
      <c r="F17" s="5"/>
      <c r="G17" s="5"/>
    </row>
    <row r="18" spans="1:7" ht="15.75" customHeight="1" x14ac:dyDescent="0.3">
      <c r="A18" s="1" t="s">
        <v>59</v>
      </c>
      <c r="B18" s="7">
        <f>SUMIFS('Main Data'!$C$3:$C$512,'Main Data'!$B$3:$B$512,'Data Visualization'!A18,'Main Data'!$A$3:$A$512,"Daging Ayam",'Main Data'!$D$3:$D$512,2022)</f>
        <v>9648.27</v>
      </c>
      <c r="C18" s="5"/>
      <c r="D18" s="5"/>
      <c r="E18" s="5"/>
      <c r="F18" s="5"/>
      <c r="G18" s="5"/>
    </row>
    <row r="19" spans="1:7" ht="15.75" customHeight="1" x14ac:dyDescent="0.3">
      <c r="A19" s="5"/>
      <c r="B19" s="5"/>
      <c r="C19" s="5"/>
      <c r="D19" s="5"/>
      <c r="E19" s="5"/>
      <c r="F19" s="5"/>
      <c r="G19" s="5"/>
    </row>
    <row r="20" spans="1:7" ht="15.75" customHeight="1" x14ac:dyDescent="0.3">
      <c r="A20" s="5" t="s">
        <v>60</v>
      </c>
      <c r="B20" s="5"/>
      <c r="C20" s="5"/>
      <c r="D20" s="5"/>
      <c r="E20" s="5"/>
      <c r="F20" s="5"/>
      <c r="G20" s="5"/>
    </row>
    <row r="21" spans="1:7" ht="15.75" customHeight="1" x14ac:dyDescent="0.3">
      <c r="A21" s="8" t="s">
        <v>55</v>
      </c>
      <c r="B21" s="8" t="s">
        <v>61</v>
      </c>
      <c r="C21" s="8" t="s">
        <v>62</v>
      </c>
      <c r="D21" s="5"/>
      <c r="E21" s="5"/>
      <c r="F21" s="5"/>
      <c r="G21" s="5"/>
    </row>
    <row r="22" spans="1:7" ht="15.75" customHeight="1" x14ac:dyDescent="0.3">
      <c r="A22" s="9">
        <v>2020</v>
      </c>
      <c r="B22" s="7">
        <f>SUMIF('Main Data'!$D$3:$D$512,'Data Visualization'!A22,'Main Data'!$J$3:$J$512)</f>
        <v>159039919.75999999</v>
      </c>
      <c r="C22" s="10">
        <f>SUMIF('Main Data'!$D$3:$D$512,'Data Visualization'!A22,'Main Data'!$K$3:$K$512)</f>
        <v>1622924959340</v>
      </c>
      <c r="D22" s="11"/>
      <c r="E22" s="5"/>
      <c r="F22" s="5"/>
      <c r="G22" s="5"/>
    </row>
    <row r="23" spans="1:7" ht="15.75" customHeight="1" x14ac:dyDescent="0.3">
      <c r="A23" s="9">
        <v>2021</v>
      </c>
      <c r="B23" s="7">
        <f>SUMIF('Main Data'!$D$3:$D$512,'Data Visualization'!A23,'Main Data'!$J$3:$J$512)</f>
        <v>139840993.02999994</v>
      </c>
      <c r="C23" s="10">
        <f>SUMIF('Main Data'!$D$3:$D$512,'Data Visualization'!A23,'Main Data'!$K$3:$K$512)</f>
        <v>1463497059500</v>
      </c>
      <c r="D23" s="5"/>
      <c r="E23" s="5"/>
      <c r="F23" s="5"/>
      <c r="G23" s="5"/>
    </row>
    <row r="24" spans="1:7" ht="15.75" customHeight="1" x14ac:dyDescent="0.3">
      <c r="A24" s="9">
        <v>2022</v>
      </c>
      <c r="B24" s="7">
        <f>SUMIF('Main Data'!$D$3:$D$512,'Data Visualization'!A24,'Main Data'!$J$3:$J$512)</f>
        <v>145469717.30999997</v>
      </c>
      <c r="C24" s="10">
        <f>SUMIF('Main Data'!$D$3:$D$512,'Data Visualization'!A24,'Main Data'!$K$3:$K$512)</f>
        <v>1525703575478</v>
      </c>
      <c r="D24" s="5"/>
      <c r="E24" s="5"/>
      <c r="F24" s="5"/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 t="s">
        <v>63</v>
      </c>
      <c r="B26" s="5"/>
      <c r="C26" s="5"/>
      <c r="D26" s="5"/>
      <c r="E26" s="5"/>
      <c r="F26" s="5"/>
      <c r="G26" s="5"/>
    </row>
    <row r="27" spans="1:7" ht="15.75" customHeight="1" x14ac:dyDescent="0.3">
      <c r="A27" s="12" t="s">
        <v>55</v>
      </c>
      <c r="B27" s="14" t="s">
        <v>64</v>
      </c>
      <c r="C27" s="15"/>
      <c r="D27" s="15"/>
      <c r="E27" s="15"/>
      <c r="F27" s="15"/>
      <c r="G27" s="16"/>
    </row>
    <row r="28" spans="1:7" ht="15.75" customHeight="1" x14ac:dyDescent="0.3">
      <c r="A28" s="13"/>
      <c r="B28" s="8" t="s">
        <v>65</v>
      </c>
      <c r="C28" s="8" t="s">
        <v>66</v>
      </c>
      <c r="D28" s="8" t="s">
        <v>67</v>
      </c>
      <c r="E28" s="8" t="s">
        <v>68</v>
      </c>
      <c r="F28" s="8" t="s">
        <v>69</v>
      </c>
      <c r="G28" s="8" t="s">
        <v>70</v>
      </c>
    </row>
    <row r="29" spans="1:7" ht="15.75" customHeight="1" x14ac:dyDescent="0.3">
      <c r="A29" s="9">
        <v>2020</v>
      </c>
      <c r="B29" s="7">
        <f>SUMIFS('Main Data'!$C$3:$C$512,'Main Data'!$D$3:$D$512,'Data Visualization'!$A29,'Main Data'!$B$3:$B$512,'Data Visualization'!B$28)</f>
        <v>283640.80000000005</v>
      </c>
      <c r="C29" s="7">
        <f>SUMIFS('Main Data'!$C$3:$C$512,'Main Data'!$D$3:$D$512,'Data Visualization'!$A29,'Main Data'!$B$3:$B$512,'Data Visualization'!C$28)</f>
        <v>8156.18</v>
      </c>
      <c r="D29" s="7">
        <f>SUMIFS('Main Data'!$C$3:$C$512,'Main Data'!$D$3:$D$512,'Data Visualization'!$A29,'Main Data'!$B$3:$B$512,'Data Visualization'!D$28)</f>
        <v>780722.32</v>
      </c>
      <c r="E29" s="7">
        <f>SUMIFS('Main Data'!$C$3:$C$512,'Main Data'!$D$3:$D$512,'Data Visualization'!$A29,'Main Data'!$B$3:$B$512,'Data Visualization'!E$28)</f>
        <v>778285.37</v>
      </c>
      <c r="F29" s="7">
        <f>SUMIFS('Main Data'!$C$3:$C$512,'Main Data'!$D$3:$D$512,'Data Visualization'!$A29,'Main Data'!$B$3:$B$512,'Data Visualization'!F$28)</f>
        <v>122188.23</v>
      </c>
      <c r="G29" s="7">
        <f>SUMIFS('Main Data'!$C$3:$C$512,'Main Data'!$D$3:$D$512,'Data Visualization'!$A29,'Main Data'!$B$3:$B$512,'Data Visualization'!G$28)</f>
        <v>1784296.19</v>
      </c>
    </row>
    <row r="30" spans="1:7" ht="15.75" customHeight="1" x14ac:dyDescent="0.3">
      <c r="A30" s="9">
        <v>2021</v>
      </c>
      <c r="B30" s="7">
        <f>SUMIFS('Main Data'!$C$3:$C$512,'Main Data'!$D$3:$D$512,'Data Visualization'!$A30,'Main Data'!$B$3:$B$512,'Data Visualization'!B$28)</f>
        <v>268691.66000000003</v>
      </c>
      <c r="C30" s="7">
        <f>SUMIFS('Main Data'!$C$3:$C$512,'Main Data'!$D$3:$D$512,'Data Visualization'!$A30,'Main Data'!$B$3:$B$512,'Data Visualization'!C$28)</f>
        <v>17285.419999999998</v>
      </c>
      <c r="D30" s="7">
        <f>SUMIFS('Main Data'!$C$3:$C$512,'Main Data'!$D$3:$D$512,'Data Visualization'!$A30,'Main Data'!$B$3:$B$512,'Data Visualization'!D$28)</f>
        <v>842494.06</v>
      </c>
      <c r="E30" s="7">
        <f>SUMIFS('Main Data'!$C$3:$C$512,'Main Data'!$D$3:$D$512,'Data Visualization'!$A30,'Main Data'!$B$3:$B$512,'Data Visualization'!E$28)</f>
        <v>852197.62</v>
      </c>
      <c r="F30" s="7">
        <f>SUMIFS('Main Data'!$C$3:$C$512,'Main Data'!$D$3:$D$512,'Data Visualization'!$A30,'Main Data'!$B$3:$B$512,'Data Visualization'!F$28)</f>
        <v>144368.85</v>
      </c>
      <c r="G30" s="7">
        <f>SUMIFS('Main Data'!$C$3:$C$512,'Main Data'!$D$3:$D$512,'Data Visualization'!$A30,'Main Data'!$B$3:$B$512,'Data Visualization'!G$28)</f>
        <v>1657427.7800000003</v>
      </c>
    </row>
    <row r="31" spans="1:7" ht="15.75" customHeight="1" x14ac:dyDescent="0.3">
      <c r="A31" s="9">
        <v>2022</v>
      </c>
      <c r="B31" s="7">
        <f>SUMIFS('Main Data'!$C$3:$C$512,'Main Data'!$D$3:$D$512,'Data Visualization'!$A31,'Main Data'!$B$3:$B$512,'Data Visualization'!B$28)</f>
        <v>352269.55</v>
      </c>
      <c r="C31" s="7">
        <f>SUMIFS('Main Data'!$C$3:$C$512,'Main Data'!$D$3:$D$512,'Data Visualization'!$A31,'Main Data'!$B$3:$B$512,'Data Visualization'!C$28)</f>
        <v>18610.070000000003</v>
      </c>
      <c r="D31" s="7">
        <f>SUMIFS('Main Data'!$C$3:$C$512,'Main Data'!$D$3:$D$512,'Data Visualization'!$A31,'Main Data'!$B$3:$B$512,'Data Visualization'!D$28)</f>
        <v>892191.80999999994</v>
      </c>
      <c r="E31" s="7">
        <f>SUMIFS('Main Data'!$C$3:$C$512,'Main Data'!$D$3:$D$512,'Data Visualization'!$A31,'Main Data'!$B$3:$B$512,'Data Visualization'!E$28)</f>
        <v>944922.6399999999</v>
      </c>
      <c r="F31" s="7">
        <f>SUMIFS('Main Data'!$C$3:$C$512,'Main Data'!$D$3:$D$512,'Data Visualization'!$A31,'Main Data'!$B$3:$B$512,'Data Visualization'!F$28)</f>
        <v>182982.44</v>
      </c>
      <c r="G31" s="7">
        <f>SUMIFS('Main Data'!$C$3:$C$512,'Main Data'!$D$3:$D$512,'Data Visualization'!$A31,'Main Data'!$B$3:$B$512,'Data Visualization'!G$28)</f>
        <v>1500053.93</v>
      </c>
    </row>
    <row r="32" spans="1:7" ht="15.75" customHeight="1" x14ac:dyDescent="0.3">
      <c r="A32" s="5"/>
      <c r="B32" s="5"/>
      <c r="C32" s="5"/>
      <c r="D32" s="5"/>
      <c r="E32" s="5"/>
      <c r="F32" s="5"/>
      <c r="G32" s="5"/>
    </row>
    <row r="33" spans="1:7" ht="15.75" customHeight="1" x14ac:dyDescent="0.3">
      <c r="A33" s="5"/>
      <c r="B33" s="5"/>
      <c r="C33" s="5"/>
      <c r="D33" s="5"/>
      <c r="E33" s="5"/>
      <c r="F33" s="5"/>
      <c r="G33" s="5"/>
    </row>
    <row r="34" spans="1:7" ht="15.75" customHeight="1" x14ac:dyDescent="0.3">
      <c r="A34" s="5" t="s">
        <v>71</v>
      </c>
      <c r="B34" s="5"/>
      <c r="C34" s="5"/>
      <c r="D34" s="5"/>
      <c r="E34" s="5"/>
      <c r="F34" s="5"/>
      <c r="G34" s="5"/>
    </row>
    <row r="35" spans="1:7" ht="15.75" customHeight="1" x14ac:dyDescent="0.3">
      <c r="A35" s="8" t="s">
        <v>2</v>
      </c>
      <c r="B35" s="8" t="s">
        <v>72</v>
      </c>
      <c r="C35" s="5"/>
      <c r="D35" s="5"/>
      <c r="E35" s="5"/>
      <c r="F35" s="5"/>
      <c r="G35" s="5"/>
    </row>
    <row r="36" spans="1:7" ht="15.75" customHeight="1" x14ac:dyDescent="0.3">
      <c r="A36" s="1" t="s">
        <v>14</v>
      </c>
      <c r="B36" s="9">
        <f>SUMIFS('Main Data'!$C$3:$C$512,'Main Data'!$D$3:$D$512,2022,'Main Data'!$A$3:$A$512,"Daging Sapi",'Main Data'!$B$3:$B$512,'Data Visualization'!A36)</f>
        <v>110991.18</v>
      </c>
      <c r="C36" s="11"/>
      <c r="D36" s="5"/>
      <c r="E36" s="5"/>
      <c r="F36" s="5"/>
      <c r="G36" s="11"/>
    </row>
    <row r="37" spans="1:7" ht="15.75" customHeight="1" x14ac:dyDescent="0.3">
      <c r="A37" s="1" t="s">
        <v>16</v>
      </c>
      <c r="B37" s="9">
        <f>SUMIFS('Main Data'!$C$3:$C$512,'Main Data'!$D$3:$D$512,2022,'Main Data'!$A$3:$A$512,"Daging Sapi",'Main Data'!$B$3:$B$512,'Data Visualization'!A37)</f>
        <v>2918.75</v>
      </c>
      <c r="C37" s="11"/>
      <c r="D37" s="5"/>
      <c r="E37" s="5"/>
      <c r="F37" s="5"/>
      <c r="G37" s="11"/>
    </row>
    <row r="38" spans="1:7" ht="15.75" customHeight="1" x14ac:dyDescent="0.3">
      <c r="A38" s="1" t="s">
        <v>18</v>
      </c>
      <c r="B38" s="9">
        <f>SUMIFS('Main Data'!$C$3:$C$512,'Main Data'!$D$3:$D$512,2022,'Main Data'!$A$3:$A$512,"Daging Sapi",'Main Data'!$B$3:$B$512,'Data Visualization'!A38)</f>
        <v>3329.27</v>
      </c>
      <c r="C38" s="11"/>
      <c r="D38" s="5"/>
      <c r="E38" s="5"/>
      <c r="F38" s="5"/>
      <c r="G38" s="11"/>
    </row>
    <row r="39" spans="1:7" ht="15.75" customHeight="1" x14ac:dyDescent="0.3">
      <c r="A39" s="1" t="s">
        <v>19</v>
      </c>
      <c r="B39" s="9">
        <f>SUMIFS('Main Data'!$C$3:$C$512,'Main Data'!$D$3:$D$512,2022,'Main Data'!$A$3:$A$512,"Daging Sapi",'Main Data'!$B$3:$B$512,'Data Visualization'!A39)</f>
        <v>16277.51</v>
      </c>
      <c r="C39" s="11"/>
      <c r="D39" s="5"/>
      <c r="E39" s="5"/>
      <c r="F39" s="5"/>
      <c r="G39" s="11"/>
    </row>
    <row r="40" spans="1:7" ht="15.75" customHeight="1" x14ac:dyDescent="0.3">
      <c r="A40" s="1" t="s">
        <v>21</v>
      </c>
      <c r="B40" s="9">
        <f>SUMIFS('Main Data'!$C$3:$C$512,'Main Data'!$D$3:$D$512,2022,'Main Data'!$A$3:$A$512,"Daging Sapi",'Main Data'!$B$3:$B$512,'Data Visualization'!A40)</f>
        <v>61393.95</v>
      </c>
      <c r="C40" s="11"/>
      <c r="D40" s="5"/>
      <c r="E40" s="5"/>
      <c r="F40" s="5"/>
      <c r="G40" s="11"/>
    </row>
    <row r="41" spans="1:7" ht="15.75" customHeight="1" x14ac:dyDescent="0.3">
      <c r="A41" s="1" t="s">
        <v>22</v>
      </c>
      <c r="B41" s="9">
        <f>SUMIFS('Main Data'!$C$3:$C$512,'Main Data'!$D$3:$D$512,2022,'Main Data'!$A$3:$A$512,"Daging Sapi",'Main Data'!$B$3:$B$512,'Data Visualization'!A41)</f>
        <v>1506.02</v>
      </c>
      <c r="C41" s="11"/>
      <c r="D41" s="5"/>
      <c r="E41" s="5"/>
      <c r="F41" s="5"/>
      <c r="G41" s="5"/>
    </row>
    <row r="42" spans="1:7" ht="15.75" customHeight="1" x14ac:dyDescent="0.3">
      <c r="A42" s="1" t="s">
        <v>23</v>
      </c>
      <c r="B42" s="9">
        <f>SUMIFS('Main Data'!$C$3:$C$512,'Main Data'!$D$3:$D$512,2022,'Main Data'!$A$3:$A$512,"Daging Sapi",'Main Data'!$B$3:$B$512,'Data Visualization'!A42)</f>
        <v>84960.62</v>
      </c>
      <c r="C42" s="11"/>
      <c r="D42" s="5"/>
      <c r="E42" s="5"/>
      <c r="F42" s="5"/>
      <c r="G42" s="5"/>
    </row>
    <row r="43" spans="1:7" ht="15.75" customHeight="1" x14ac:dyDescent="0.3">
      <c r="A43" s="1" t="s">
        <v>25</v>
      </c>
      <c r="B43" s="9">
        <f>SUMIFS('Main Data'!$C$3:$C$512,'Main Data'!$D$3:$D$512,2022,'Main Data'!$A$3:$A$512,"Daging Sapi",'Main Data'!$B$3:$B$512,'Data Visualization'!A43)</f>
        <v>4525.62</v>
      </c>
      <c r="C43" s="11"/>
      <c r="D43" s="5"/>
      <c r="E43" s="5"/>
      <c r="F43" s="5"/>
      <c r="G43" s="5"/>
    </row>
    <row r="44" spans="1:7" ht="15.75" customHeight="1" x14ac:dyDescent="0.3">
      <c r="A44" s="1" t="s">
        <v>26</v>
      </c>
      <c r="B44" s="9">
        <f>SUMIFS('Main Data'!$C$3:$C$512,'Main Data'!$D$3:$D$512,2022,'Main Data'!$A$3:$A$512,"Daging Sapi",'Main Data'!$B$3:$B$512,'Data Visualization'!A44)</f>
        <v>13859.09</v>
      </c>
      <c r="C44" s="11"/>
      <c r="D44" s="5"/>
      <c r="E44" s="5"/>
      <c r="F44" s="5"/>
      <c r="G44" s="5"/>
    </row>
    <row r="45" spans="1:7" ht="15.75" customHeight="1" x14ac:dyDescent="0.3">
      <c r="A45" s="1" t="s">
        <v>27</v>
      </c>
      <c r="B45" s="9">
        <f>SUMIFS('Main Data'!$C$3:$C$512,'Main Data'!$D$3:$D$512,2022,'Main Data'!$A$3:$A$512,"Daging Sapi",'Main Data'!$B$3:$B$512,'Data Visualization'!A45)</f>
        <v>3395.04</v>
      </c>
      <c r="C45" s="11"/>
      <c r="D45" s="5"/>
      <c r="E45" s="5"/>
      <c r="F45" s="5"/>
      <c r="G45" s="5"/>
    </row>
    <row r="46" spans="1:7" ht="15.75" customHeight="1" x14ac:dyDescent="0.3">
      <c r="A46" s="1" t="s">
        <v>28</v>
      </c>
      <c r="B46" s="9">
        <f>SUMIFS('Main Data'!$C$3:$C$512,'Main Data'!$D$3:$D$512,2022,'Main Data'!$A$3:$A$512,"Daging Sapi",'Main Data'!$B$3:$B$512,'Data Visualization'!A46)</f>
        <v>1320.51</v>
      </c>
      <c r="C46" s="11"/>
      <c r="D46" s="5"/>
      <c r="E46" s="5"/>
      <c r="F46" s="5"/>
      <c r="G46" s="5"/>
    </row>
    <row r="47" spans="1:7" ht="15.75" customHeight="1" x14ac:dyDescent="0.3">
      <c r="A47" s="1" t="s">
        <v>29</v>
      </c>
      <c r="B47" s="9">
        <f>SUMIFS('Main Data'!$C$3:$C$512,'Main Data'!$D$3:$D$512,2022,'Main Data'!$A$3:$A$512,"Daging Sapi",'Main Data'!$B$3:$B$512,'Data Visualization'!A47)</f>
        <v>7899.9</v>
      </c>
      <c r="C47" s="11"/>
      <c r="D47" s="5"/>
      <c r="E47" s="5"/>
      <c r="F47" s="5"/>
      <c r="G47" s="5"/>
    </row>
    <row r="48" spans="1:7" ht="15.75" customHeight="1" x14ac:dyDescent="0.3">
      <c r="A48" s="1" t="s">
        <v>30</v>
      </c>
      <c r="B48" s="9">
        <f>SUMIFS('Main Data'!$C$3:$C$512,'Main Data'!$D$3:$D$512,2022,'Main Data'!$A$3:$A$512,"Daging Sapi",'Main Data'!$B$3:$B$512,'Data Visualization'!A48)</f>
        <v>17617.61</v>
      </c>
      <c r="C48" s="11"/>
      <c r="D48" s="5"/>
      <c r="E48" s="5"/>
      <c r="F48" s="5"/>
      <c r="G48" s="5"/>
    </row>
    <row r="49" spans="1:7" ht="15.75" customHeight="1" x14ac:dyDescent="0.3">
      <c r="A49" s="1" t="s">
        <v>31</v>
      </c>
      <c r="B49" s="9">
        <f>SUMIFS('Main Data'!$C$3:$C$512,'Main Data'!$D$3:$D$512,2022,'Main Data'!$A$3:$A$512,"Daging Sapi",'Main Data'!$B$3:$B$512,'Data Visualization'!A49)</f>
        <v>5760.1</v>
      </c>
      <c r="C49" s="11"/>
      <c r="D49" s="5"/>
      <c r="E49" s="5"/>
      <c r="F49" s="5"/>
      <c r="G49" s="5"/>
    </row>
    <row r="50" spans="1:7" ht="15.75" customHeight="1" x14ac:dyDescent="0.3">
      <c r="A50" s="1" t="s">
        <v>32</v>
      </c>
      <c r="B50" s="9">
        <f>SUMIFS('Main Data'!$C$3:$C$512,'Main Data'!$D$3:$D$512,2022,'Main Data'!$A$3:$A$512,"Daging Sapi",'Main Data'!$B$3:$B$512,'Data Visualization'!A50)</f>
        <v>1390.39</v>
      </c>
      <c r="C50" s="11"/>
      <c r="D50" s="5"/>
      <c r="E50" s="5"/>
      <c r="F50" s="5"/>
      <c r="G50" s="5"/>
    </row>
    <row r="51" spans="1:7" ht="15.75" customHeight="1" x14ac:dyDescent="0.3">
      <c r="A51" s="1" t="s">
        <v>33</v>
      </c>
      <c r="B51" s="9">
        <f>SUMIFS('Main Data'!$C$3:$C$512,'Main Data'!$D$3:$D$512,2022,'Main Data'!$A$3:$A$512,"Daging Sapi",'Main Data'!$B$3:$B$512,'Data Visualization'!A51)</f>
        <v>895.57</v>
      </c>
      <c r="C51" s="11"/>
      <c r="D51" s="5"/>
      <c r="E51" s="5"/>
      <c r="F51" s="5"/>
      <c r="G51" s="5"/>
    </row>
    <row r="52" spans="1:7" ht="15.75" customHeight="1" x14ac:dyDescent="0.3">
      <c r="A52" s="1" t="s">
        <v>34</v>
      </c>
      <c r="B52" s="9">
        <f>SUMIFS('Main Data'!$C$3:$C$512,'Main Data'!$D$3:$D$512,2022,'Main Data'!$A$3:$A$512,"Daging Sapi",'Main Data'!$B$3:$B$512,'Data Visualization'!A52)</f>
        <v>21514.66</v>
      </c>
      <c r="C52" s="11"/>
      <c r="D52" s="5"/>
      <c r="E52" s="5"/>
      <c r="F52" s="5"/>
      <c r="G52" s="5"/>
    </row>
    <row r="53" spans="1:7" ht="15.75" customHeight="1" x14ac:dyDescent="0.3">
      <c r="A53" s="1" t="s">
        <v>35</v>
      </c>
      <c r="B53" s="9">
        <f>SUMIFS('Main Data'!$C$3:$C$512,'Main Data'!$D$3:$D$512,2022,'Main Data'!$A$3:$A$512,"Daging Sapi",'Main Data'!$B$3:$B$512,'Data Visualization'!A53)</f>
        <v>2308.12</v>
      </c>
      <c r="C53" s="11"/>
      <c r="D53" s="5"/>
      <c r="E53" s="5"/>
      <c r="F53" s="5"/>
      <c r="G53" s="5"/>
    </row>
    <row r="54" spans="1:7" ht="15.75" customHeight="1" x14ac:dyDescent="0.3">
      <c r="A54" s="1" t="s">
        <v>36</v>
      </c>
      <c r="B54" s="9">
        <f>SUMIFS('Main Data'!$C$3:$C$512,'Main Data'!$D$3:$D$512,2022,'Main Data'!$A$3:$A$512,"Daging Sapi",'Main Data'!$B$3:$B$512,'Data Visualization'!A54)</f>
        <v>17242.689999999999</v>
      </c>
      <c r="C54" s="11"/>
      <c r="D54" s="5"/>
      <c r="E54" s="5"/>
      <c r="F54" s="5"/>
      <c r="G54" s="5"/>
    </row>
    <row r="55" spans="1:7" ht="15.75" customHeight="1" x14ac:dyDescent="0.3">
      <c r="A55" s="1" t="s">
        <v>37</v>
      </c>
      <c r="B55" s="9">
        <f>SUMIFS('Main Data'!$C$3:$C$512,'Main Data'!$D$3:$D$512,2022,'Main Data'!$A$3:$A$512,"Daging Sapi",'Main Data'!$B$3:$B$512,'Data Visualization'!A55)</f>
        <v>2616.77</v>
      </c>
      <c r="C55" s="11"/>
      <c r="D55" s="5"/>
      <c r="E55" s="5"/>
      <c r="F55" s="5"/>
      <c r="G55" s="5"/>
    </row>
    <row r="56" spans="1:7" ht="15.75" customHeight="1" x14ac:dyDescent="0.3">
      <c r="A56" s="1" t="s">
        <v>38</v>
      </c>
      <c r="B56" s="9">
        <f>SUMIFS('Main Data'!$C$3:$C$512,'Main Data'!$D$3:$D$512,2022,'Main Data'!$A$3:$A$512,"Daging Sapi",'Main Data'!$B$3:$B$512,'Data Visualization'!A56)</f>
        <v>4113.87</v>
      </c>
      <c r="C56" s="11"/>
      <c r="D56" s="5"/>
      <c r="E56" s="5"/>
      <c r="F56" s="5"/>
      <c r="G56" s="5"/>
    </row>
    <row r="57" spans="1:7" ht="15.75" customHeight="1" x14ac:dyDescent="0.3">
      <c r="A57" s="1" t="s">
        <v>39</v>
      </c>
      <c r="B57" s="9">
        <f>SUMIFS('Main Data'!$C$3:$C$512,'Main Data'!$D$3:$D$512,2022,'Main Data'!$A$3:$A$512,"Daging Sapi",'Main Data'!$B$3:$B$512,'Data Visualization'!A57)</f>
        <v>4694.03</v>
      </c>
      <c r="C57" s="11"/>
      <c r="D57" s="5"/>
      <c r="E57" s="5"/>
      <c r="F57" s="5"/>
      <c r="G57" s="5"/>
    </row>
    <row r="58" spans="1:7" ht="15.75" customHeight="1" x14ac:dyDescent="0.3">
      <c r="A58" s="1" t="s">
        <v>40</v>
      </c>
      <c r="B58" s="9">
        <f>SUMIFS('Main Data'!$C$3:$C$512,'Main Data'!$D$3:$D$512,2022,'Main Data'!$A$3:$A$512,"Daging Sapi",'Main Data'!$B$3:$B$512,'Data Visualization'!A58)</f>
        <v>8680.44</v>
      </c>
      <c r="C58" s="11"/>
      <c r="D58" s="5"/>
      <c r="E58" s="5"/>
      <c r="F58" s="5"/>
      <c r="G58" s="5"/>
    </row>
    <row r="59" spans="1:7" ht="15.75" customHeight="1" x14ac:dyDescent="0.3">
      <c r="A59" s="1" t="s">
        <v>41</v>
      </c>
      <c r="B59" s="9">
        <f>SUMIFS('Main Data'!$C$3:$C$512,'Main Data'!$D$3:$D$512,2022,'Main Data'!$A$3:$A$512,"Daging Sapi",'Main Data'!$B$3:$B$512,'Data Visualization'!A59)</f>
        <v>9127.69</v>
      </c>
      <c r="C59" s="11"/>
      <c r="D59" s="5"/>
      <c r="E59" s="5"/>
      <c r="F59" s="5"/>
      <c r="G59" s="5"/>
    </row>
    <row r="60" spans="1:7" ht="15.75" customHeight="1" x14ac:dyDescent="0.3">
      <c r="A60" s="1" t="s">
        <v>42</v>
      </c>
      <c r="B60" s="9">
        <f>SUMIFS('Main Data'!$C$3:$C$512,'Main Data'!$D$3:$D$512,2022,'Main Data'!$A$3:$A$512,"Daging Sapi",'Main Data'!$B$3:$B$512,'Data Visualization'!A60)</f>
        <v>11159.01</v>
      </c>
      <c r="C60" s="11"/>
      <c r="D60" s="5"/>
      <c r="E60" s="5"/>
      <c r="F60" s="5"/>
      <c r="G60" s="5"/>
    </row>
    <row r="61" spans="1:7" ht="15.75" customHeight="1" x14ac:dyDescent="0.3">
      <c r="A61" s="1" t="s">
        <v>43</v>
      </c>
      <c r="B61" s="9">
        <f>SUMIFS('Main Data'!$C$3:$C$512,'Main Data'!$D$3:$D$512,2022,'Main Data'!$A$3:$A$512,"Daging Sapi",'Main Data'!$B$3:$B$512,'Data Visualization'!A61)</f>
        <v>15458.87</v>
      </c>
      <c r="C61" s="11"/>
      <c r="D61" s="5"/>
      <c r="E61" s="5"/>
      <c r="F61" s="5"/>
      <c r="G61" s="5"/>
    </row>
    <row r="62" spans="1:7" ht="15.75" customHeight="1" x14ac:dyDescent="0.3">
      <c r="A62" s="1" t="s">
        <v>44</v>
      </c>
      <c r="B62" s="9">
        <f>SUMIFS('Main Data'!$C$3:$C$512,'Main Data'!$D$3:$D$512,2022,'Main Data'!$A$3:$A$512,"Daging Sapi",'Main Data'!$B$3:$B$512,'Data Visualization'!A62)</f>
        <v>3169.39</v>
      </c>
      <c r="C62" s="11"/>
      <c r="D62" s="5"/>
      <c r="E62" s="5"/>
      <c r="F62" s="5"/>
      <c r="G62" s="5"/>
    </row>
    <row r="63" spans="1:7" ht="15.75" customHeight="1" x14ac:dyDescent="0.3">
      <c r="A63" s="1" t="s">
        <v>45</v>
      </c>
      <c r="B63" s="9">
        <f>SUMIFS('Main Data'!$C$3:$C$512,'Main Data'!$D$3:$D$512,2022,'Main Data'!$A$3:$A$512,"Daging Sapi",'Main Data'!$B$3:$B$512,'Data Visualization'!A63)</f>
        <v>1725.34</v>
      </c>
      <c r="C63" s="11"/>
      <c r="D63" s="5"/>
      <c r="E63" s="5"/>
      <c r="F63" s="5"/>
      <c r="G63" s="5"/>
    </row>
    <row r="64" spans="1:7" ht="15.75" customHeight="1" x14ac:dyDescent="0.3">
      <c r="A64" s="1" t="s">
        <v>46</v>
      </c>
      <c r="B64" s="9">
        <f>SUMIFS('Main Data'!$C$3:$C$512,'Main Data'!$D$3:$D$512,2022,'Main Data'!$A$3:$A$512,"Daging Sapi",'Main Data'!$B$3:$B$512,'Data Visualization'!A64)</f>
        <v>5095.8900000000003</v>
      </c>
      <c r="C64" s="11"/>
      <c r="D64" s="5"/>
      <c r="E64" s="5"/>
      <c r="F64" s="5"/>
      <c r="G64" s="5"/>
    </row>
    <row r="65" spans="1:7" ht="15.75" customHeight="1" x14ac:dyDescent="0.3">
      <c r="A65" s="1" t="s">
        <v>47</v>
      </c>
      <c r="B65" s="9">
        <f>SUMIFS('Main Data'!$C$3:$C$512,'Main Data'!$D$3:$D$512,2022,'Main Data'!$A$3:$A$512,"Daging Sapi",'Main Data'!$B$3:$B$512,'Data Visualization'!A65)</f>
        <v>5967.2</v>
      </c>
      <c r="C65" s="11"/>
      <c r="D65" s="5"/>
      <c r="E65" s="5"/>
      <c r="F65" s="5"/>
      <c r="G65" s="5"/>
    </row>
    <row r="66" spans="1:7" ht="15.75" customHeight="1" x14ac:dyDescent="0.3">
      <c r="A66" s="1" t="s">
        <v>48</v>
      </c>
      <c r="B66" s="9">
        <f>SUMIFS('Main Data'!$C$3:$C$512,'Main Data'!$D$3:$D$512,2022,'Main Data'!$A$3:$A$512,"Daging Sapi",'Main Data'!$B$3:$B$512,'Data Visualization'!A66)</f>
        <v>7351.35</v>
      </c>
      <c r="C66" s="11"/>
      <c r="D66" s="5"/>
      <c r="E66" s="5"/>
      <c r="F66" s="5"/>
      <c r="G66" s="5"/>
    </row>
    <row r="67" spans="1:7" ht="15.75" customHeight="1" x14ac:dyDescent="0.3">
      <c r="A67" s="1" t="s">
        <v>49</v>
      </c>
      <c r="B67" s="9">
        <f>SUMIFS('Main Data'!$C$3:$C$512,'Main Data'!$D$3:$D$512,2022,'Main Data'!$A$3:$A$512,"Daging Sapi",'Main Data'!$B$3:$B$512,'Data Visualization'!A67)</f>
        <v>12014.96</v>
      </c>
      <c r="C67" s="11"/>
      <c r="D67" s="5"/>
      <c r="E67" s="5"/>
      <c r="F67" s="5"/>
      <c r="G67" s="5"/>
    </row>
    <row r="68" spans="1:7" ht="15.75" customHeight="1" x14ac:dyDescent="0.3">
      <c r="A68" s="1" t="s">
        <v>50</v>
      </c>
      <c r="B68" s="9">
        <f>SUMIFS('Main Data'!$C$3:$C$512,'Main Data'!$D$3:$D$512,2022,'Main Data'!$A$3:$A$512,"Daging Sapi",'Main Data'!$B$3:$B$512,'Data Visualization'!A68)</f>
        <v>21176.2</v>
      </c>
      <c r="C68" s="11"/>
      <c r="D68" s="5"/>
      <c r="E68" s="5"/>
      <c r="F68" s="5"/>
      <c r="G68" s="5"/>
    </row>
    <row r="69" spans="1:7" ht="15.75" customHeight="1" x14ac:dyDescent="0.3">
      <c r="A69" s="1" t="s">
        <v>51</v>
      </c>
      <c r="B69" s="9">
        <f>SUMIFS('Main Data'!$C$3:$C$512,'Main Data'!$D$3:$D$512,2022,'Main Data'!$A$3:$A$512,"Daging Sapi",'Main Data'!$B$3:$B$512,'Data Visualization'!A69)</f>
        <v>7465.56</v>
      </c>
      <c r="C69" s="11"/>
      <c r="D69" s="5"/>
      <c r="E69" s="5"/>
      <c r="F69" s="5"/>
      <c r="G69" s="5"/>
    </row>
    <row r="70" spans="1:7" ht="15.75" customHeight="1" x14ac:dyDescent="0.3"/>
    <row r="71" spans="1:7" ht="15.75" customHeight="1" x14ac:dyDescent="0.3"/>
    <row r="72" spans="1:7" ht="15.75" customHeight="1" x14ac:dyDescent="0.3"/>
    <row r="73" spans="1:7" ht="15.75" customHeight="1" x14ac:dyDescent="0.3"/>
    <row r="74" spans="1:7" ht="15.75" customHeight="1" x14ac:dyDescent="0.3"/>
    <row r="75" spans="1:7" ht="15.75" customHeight="1" x14ac:dyDescent="0.3"/>
    <row r="76" spans="1:7" ht="15.75" customHeight="1" x14ac:dyDescent="0.3"/>
    <row r="77" spans="1:7" ht="15.75" customHeight="1" x14ac:dyDescent="0.3"/>
    <row r="78" spans="1:7" ht="15.75" customHeight="1" x14ac:dyDescent="0.3"/>
    <row r="79" spans="1:7" ht="15.75" customHeight="1" x14ac:dyDescent="0.3"/>
    <row r="80" spans="1:7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27:A28"/>
    <mergeCell ref="B27:G27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</vt:lpstr>
      <vt:lpstr>Data 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Alfarizi Lubis</dc:creator>
  <cp:lastModifiedBy>Muhammad Rizky Ramadhani</cp:lastModifiedBy>
  <dcterms:created xsi:type="dcterms:W3CDTF">2023-03-22T09:00:28Z</dcterms:created>
  <dcterms:modified xsi:type="dcterms:W3CDTF">2026-08-23T11:27:53Z</dcterms:modified>
</cp:coreProperties>
</file>